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\functional\comparedesign\Rev\code v3\NDOSE10\"/>
    </mc:Choice>
  </mc:AlternateContent>
  <xr:revisionPtr revIDLastSave="0" documentId="13_ncr:1_{68C18822-1C9B-4518-9117-71A9DCEC0C11}" xr6:coauthVersionLast="47" xr6:coauthVersionMax="47" xr10:uidLastSave="{00000000-0000-0000-0000-000000000000}"/>
  <bookViews>
    <workbookView xWindow="-90" yWindow="-90" windowWidth="19380" windowHeight="9765" xr2:uid="{00000000-000D-0000-FFFF-FFFF00000000}"/>
  </bookViews>
  <sheets>
    <sheet name="Outputtable" sheetId="5" r:id="rId1"/>
    <sheet name="efficacy" sheetId="4" r:id="rId2"/>
    <sheet name="utility" sheetId="2" r:id="rId3"/>
    <sheet name="simres.csv" sheetId="1" r:id="rId4"/>
  </sheets>
  <calcPr calcId="191029"/>
  <pivotCaches>
    <pivotCache cacheId="3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5" i="5" l="1"/>
  <c r="I34" i="5"/>
  <c r="I33" i="5"/>
  <c r="I32" i="5"/>
  <c r="I31" i="5"/>
  <c r="I30" i="5"/>
  <c r="I29" i="5"/>
  <c r="I27" i="5"/>
  <c r="I26" i="5"/>
  <c r="I25" i="5"/>
  <c r="I24" i="5"/>
  <c r="I23" i="5"/>
  <c r="I22" i="5"/>
  <c r="I21" i="5"/>
  <c r="I18" i="5"/>
  <c r="I17" i="5"/>
  <c r="I16" i="5"/>
  <c r="I15" i="5"/>
  <c r="I14" i="5"/>
  <c r="I13" i="5"/>
  <c r="I12" i="5"/>
  <c r="I5" i="5"/>
  <c r="I6" i="5"/>
  <c r="I7" i="5"/>
  <c r="I8" i="5"/>
  <c r="I9" i="5"/>
  <c r="I10" i="5"/>
  <c r="I4" i="5"/>
  <c r="S6" i="4"/>
  <c r="S5" i="4"/>
  <c r="H27" i="5" l="1"/>
  <c r="G27" i="5"/>
  <c r="F27" i="5"/>
  <c r="E27" i="5"/>
  <c r="D27" i="5"/>
  <c r="C27" i="5"/>
  <c r="H26" i="5"/>
  <c r="G26" i="5"/>
  <c r="F26" i="5"/>
  <c r="E26" i="5"/>
  <c r="D26" i="5"/>
  <c r="C26" i="5"/>
  <c r="H25" i="5"/>
  <c r="G25" i="5"/>
  <c r="F25" i="5"/>
  <c r="E25" i="5"/>
  <c r="D25" i="5"/>
  <c r="C25" i="5"/>
  <c r="H24" i="5"/>
  <c r="G24" i="5"/>
  <c r="F24" i="5"/>
  <c r="E24" i="5"/>
  <c r="D24" i="5"/>
  <c r="C24" i="5"/>
  <c r="H23" i="5"/>
  <c r="G23" i="5"/>
  <c r="F23" i="5"/>
  <c r="E23" i="5"/>
  <c r="D23" i="5"/>
  <c r="C23" i="5"/>
  <c r="H22" i="5"/>
  <c r="G22" i="5"/>
  <c r="F22" i="5"/>
  <c r="E22" i="5"/>
  <c r="D22" i="5"/>
  <c r="C22" i="5"/>
  <c r="H21" i="5"/>
  <c r="G21" i="5"/>
  <c r="F21" i="5"/>
  <c r="E21" i="5"/>
  <c r="D21" i="5"/>
  <c r="C21" i="5"/>
  <c r="B35" i="5"/>
  <c r="B34" i="5"/>
  <c r="B33" i="5"/>
  <c r="B32" i="5"/>
  <c r="B31" i="5"/>
  <c r="B30" i="5"/>
  <c r="B29" i="5"/>
  <c r="B27" i="5"/>
  <c r="B26" i="5"/>
  <c r="B25" i="5"/>
  <c r="B24" i="5"/>
  <c r="B23" i="5"/>
  <c r="B22" i="5"/>
  <c r="B21" i="5"/>
  <c r="B18" i="5"/>
  <c r="B17" i="5"/>
  <c r="B16" i="5"/>
  <c r="B15" i="5"/>
  <c r="B14" i="5"/>
  <c r="B13" i="5"/>
  <c r="B12" i="5"/>
  <c r="B10" i="5"/>
  <c r="B9" i="5"/>
  <c r="B8" i="5"/>
  <c r="B7" i="5"/>
  <c r="B6" i="5"/>
  <c r="B5" i="5"/>
  <c r="B4" i="5"/>
  <c r="R19" i="4"/>
  <c r="H18" i="5" s="1"/>
  <c r="Q19" i="4"/>
  <c r="G18" i="5" s="1"/>
  <c r="P19" i="4"/>
  <c r="F18" i="5" s="1"/>
  <c r="O19" i="4"/>
  <c r="E18" i="5" s="1"/>
  <c r="N19" i="4"/>
  <c r="D18" i="5" s="1"/>
  <c r="M19" i="4"/>
  <c r="C18" i="5" s="1"/>
  <c r="R18" i="4"/>
  <c r="H17" i="5" s="1"/>
  <c r="Q18" i="4"/>
  <c r="G17" i="5" s="1"/>
  <c r="P18" i="4"/>
  <c r="F17" i="5" s="1"/>
  <c r="O18" i="4"/>
  <c r="E17" i="5" s="1"/>
  <c r="N18" i="4"/>
  <c r="D17" i="5" s="1"/>
  <c r="M18" i="4"/>
  <c r="C17" i="5" s="1"/>
  <c r="R17" i="4"/>
  <c r="H16" i="5" s="1"/>
  <c r="Q17" i="4"/>
  <c r="G16" i="5" s="1"/>
  <c r="P17" i="4"/>
  <c r="F16" i="5" s="1"/>
  <c r="O17" i="4"/>
  <c r="E16" i="5" s="1"/>
  <c r="N17" i="4"/>
  <c r="D16" i="5" s="1"/>
  <c r="M17" i="4"/>
  <c r="C16" i="5" s="1"/>
  <c r="R16" i="4"/>
  <c r="H15" i="5" s="1"/>
  <c r="Q16" i="4"/>
  <c r="G15" i="5" s="1"/>
  <c r="P16" i="4"/>
  <c r="F15" i="5" s="1"/>
  <c r="O16" i="4"/>
  <c r="E15" i="5" s="1"/>
  <c r="N16" i="4"/>
  <c r="D15" i="5" s="1"/>
  <c r="M16" i="4"/>
  <c r="C15" i="5" s="1"/>
  <c r="R15" i="4"/>
  <c r="H14" i="5" s="1"/>
  <c r="Q15" i="4"/>
  <c r="G14" i="5" s="1"/>
  <c r="P15" i="4"/>
  <c r="F14" i="5" s="1"/>
  <c r="O15" i="4"/>
  <c r="E14" i="5" s="1"/>
  <c r="N15" i="4"/>
  <c r="D14" i="5" s="1"/>
  <c r="M15" i="4"/>
  <c r="C14" i="5" s="1"/>
  <c r="R14" i="4"/>
  <c r="H13" i="5" s="1"/>
  <c r="Q14" i="4"/>
  <c r="G13" i="5" s="1"/>
  <c r="P14" i="4"/>
  <c r="F13" i="5" s="1"/>
  <c r="O14" i="4"/>
  <c r="E13" i="5" s="1"/>
  <c r="N14" i="4"/>
  <c r="D13" i="5" s="1"/>
  <c r="M14" i="4"/>
  <c r="C13" i="5" s="1"/>
  <c r="R13" i="4"/>
  <c r="H12" i="5" s="1"/>
  <c r="Q13" i="4"/>
  <c r="G12" i="5" s="1"/>
  <c r="P13" i="4"/>
  <c r="F12" i="5" s="1"/>
  <c r="O13" i="4"/>
  <c r="E12" i="5" s="1"/>
  <c r="N13" i="4"/>
  <c r="D12" i="5" s="1"/>
  <c r="M13" i="4"/>
  <c r="C12" i="5" s="1"/>
  <c r="R11" i="4"/>
  <c r="Q11" i="4"/>
  <c r="G10" i="5" s="1"/>
  <c r="P11" i="4"/>
  <c r="O11" i="4"/>
  <c r="E10" i="5" s="1"/>
  <c r="N11" i="4"/>
  <c r="D10" i="5" s="1"/>
  <c r="M11" i="4"/>
  <c r="C10" i="5" s="1"/>
  <c r="R10" i="4"/>
  <c r="H9" i="5" s="1"/>
  <c r="Q10" i="4"/>
  <c r="G9" i="5" s="1"/>
  <c r="P10" i="4"/>
  <c r="F9" i="5" s="1"/>
  <c r="O10" i="4"/>
  <c r="E9" i="5" s="1"/>
  <c r="N10" i="4"/>
  <c r="M10" i="4"/>
  <c r="R9" i="4"/>
  <c r="H8" i="5" s="1"/>
  <c r="Q9" i="4"/>
  <c r="G8" i="5" s="1"/>
  <c r="P9" i="4"/>
  <c r="F8" i="5" s="1"/>
  <c r="O9" i="4"/>
  <c r="E8" i="5" s="1"/>
  <c r="N9" i="4"/>
  <c r="D8" i="5" s="1"/>
  <c r="M9" i="4"/>
  <c r="C8" i="5" s="1"/>
  <c r="R8" i="4"/>
  <c r="Q8" i="4"/>
  <c r="P8" i="4"/>
  <c r="O8" i="4"/>
  <c r="N8" i="4"/>
  <c r="D7" i="5" s="1"/>
  <c r="M8" i="4"/>
  <c r="C7" i="5" s="1"/>
  <c r="R7" i="4"/>
  <c r="H6" i="5" s="1"/>
  <c r="Q7" i="4"/>
  <c r="G6" i="5" s="1"/>
  <c r="P7" i="4"/>
  <c r="O7" i="4"/>
  <c r="N7" i="4"/>
  <c r="M7" i="4"/>
  <c r="R6" i="4"/>
  <c r="H5" i="5" s="1"/>
  <c r="Q6" i="4"/>
  <c r="G5" i="5" s="1"/>
  <c r="P6" i="4"/>
  <c r="F5" i="5" s="1"/>
  <c r="O6" i="4"/>
  <c r="E5" i="5" s="1"/>
  <c r="N6" i="4"/>
  <c r="D5" i="5" s="1"/>
  <c r="M6" i="4"/>
  <c r="R5" i="4"/>
  <c r="Q5" i="4"/>
  <c r="P5" i="4"/>
  <c r="O5" i="4"/>
  <c r="E4" i="5" s="1"/>
  <c r="N5" i="4"/>
  <c r="D4" i="5" s="1"/>
  <c r="M5" i="4"/>
  <c r="C4" i="5" s="1"/>
  <c r="M13" i="2"/>
  <c r="C29" i="5" s="1"/>
  <c r="N13" i="2"/>
  <c r="D29" i="5" s="1"/>
  <c r="O13" i="2"/>
  <c r="E29" i="5" s="1"/>
  <c r="P13" i="2"/>
  <c r="F29" i="5" s="1"/>
  <c r="Q13" i="2"/>
  <c r="G29" i="5" s="1"/>
  <c r="R13" i="2"/>
  <c r="H29" i="5" s="1"/>
  <c r="M14" i="2"/>
  <c r="C30" i="5" s="1"/>
  <c r="N14" i="2"/>
  <c r="D30" i="5" s="1"/>
  <c r="O14" i="2"/>
  <c r="E30" i="5" s="1"/>
  <c r="P14" i="2"/>
  <c r="F30" i="5" s="1"/>
  <c r="Q14" i="2"/>
  <c r="G30" i="5" s="1"/>
  <c r="R14" i="2"/>
  <c r="H30" i="5" s="1"/>
  <c r="M15" i="2"/>
  <c r="C31" i="5" s="1"/>
  <c r="N15" i="2"/>
  <c r="D31" i="5" s="1"/>
  <c r="O15" i="2"/>
  <c r="E31" i="5" s="1"/>
  <c r="P15" i="2"/>
  <c r="F31" i="5" s="1"/>
  <c r="Q15" i="2"/>
  <c r="G31" i="5" s="1"/>
  <c r="R15" i="2"/>
  <c r="H31" i="5" s="1"/>
  <c r="M16" i="2"/>
  <c r="C32" i="5" s="1"/>
  <c r="N16" i="2"/>
  <c r="D32" i="5" s="1"/>
  <c r="O16" i="2"/>
  <c r="E32" i="5" s="1"/>
  <c r="P16" i="2"/>
  <c r="F32" i="5" s="1"/>
  <c r="Q16" i="2"/>
  <c r="G32" i="5" s="1"/>
  <c r="R16" i="2"/>
  <c r="H32" i="5" s="1"/>
  <c r="M17" i="2"/>
  <c r="C33" i="5" s="1"/>
  <c r="N17" i="2"/>
  <c r="D33" i="5" s="1"/>
  <c r="O17" i="2"/>
  <c r="E33" i="5" s="1"/>
  <c r="P17" i="2"/>
  <c r="F33" i="5" s="1"/>
  <c r="Q17" i="2"/>
  <c r="G33" i="5" s="1"/>
  <c r="R17" i="2"/>
  <c r="H33" i="5" s="1"/>
  <c r="M18" i="2"/>
  <c r="C34" i="5" s="1"/>
  <c r="N18" i="2"/>
  <c r="D34" i="5" s="1"/>
  <c r="O18" i="2"/>
  <c r="E34" i="5" s="1"/>
  <c r="P18" i="2"/>
  <c r="F34" i="5" s="1"/>
  <c r="Q18" i="2"/>
  <c r="G34" i="5" s="1"/>
  <c r="R18" i="2"/>
  <c r="H34" i="5" s="1"/>
  <c r="M19" i="2"/>
  <c r="C35" i="5" s="1"/>
  <c r="N19" i="2"/>
  <c r="D35" i="5" s="1"/>
  <c r="O19" i="2"/>
  <c r="E35" i="5" s="1"/>
  <c r="P19" i="2"/>
  <c r="F35" i="5" s="1"/>
  <c r="Q19" i="2"/>
  <c r="G35" i="5" s="1"/>
  <c r="R19" i="2"/>
  <c r="Z19" i="2" s="1"/>
  <c r="R6" i="2"/>
  <c r="R7" i="2"/>
  <c r="R8" i="2"/>
  <c r="R9" i="2"/>
  <c r="R10" i="2"/>
  <c r="R11" i="2"/>
  <c r="R5" i="2"/>
  <c r="Q11" i="2"/>
  <c r="P11" i="2"/>
  <c r="O11" i="2"/>
  <c r="N11" i="2"/>
  <c r="M11" i="2"/>
  <c r="Q10" i="2"/>
  <c r="P10" i="2"/>
  <c r="O10" i="2"/>
  <c r="N10" i="2"/>
  <c r="M10" i="2"/>
  <c r="Q9" i="2"/>
  <c r="P9" i="2"/>
  <c r="O9" i="2"/>
  <c r="N9" i="2"/>
  <c r="M9" i="2"/>
  <c r="Q8" i="2"/>
  <c r="P8" i="2"/>
  <c r="O8" i="2"/>
  <c r="N8" i="2"/>
  <c r="M8" i="2"/>
  <c r="Q7" i="2"/>
  <c r="P7" i="2"/>
  <c r="O7" i="2"/>
  <c r="N7" i="2"/>
  <c r="M7" i="2"/>
  <c r="Q6" i="2"/>
  <c r="P6" i="2"/>
  <c r="O6" i="2"/>
  <c r="N6" i="2"/>
  <c r="M6" i="2"/>
  <c r="Q5" i="2"/>
  <c r="P5" i="2"/>
  <c r="O5" i="2"/>
  <c r="N5" i="2"/>
  <c r="M5" i="2"/>
  <c r="D9" i="5" l="1"/>
  <c r="E7" i="5"/>
  <c r="C6" i="5"/>
  <c r="Z18" i="2"/>
  <c r="F7" i="5"/>
  <c r="G7" i="5"/>
  <c r="H7" i="5"/>
  <c r="C5" i="5"/>
  <c r="C9" i="5"/>
  <c r="D6" i="5"/>
  <c r="E6" i="5"/>
  <c r="F6" i="5"/>
  <c r="F10" i="5"/>
  <c r="G4" i="5"/>
  <c r="H4" i="5"/>
  <c r="H10" i="5"/>
  <c r="F4" i="5"/>
  <c r="W19" i="2"/>
  <c r="W17" i="2"/>
  <c r="H35" i="5"/>
  <c r="X18" i="2"/>
  <c r="X15" i="2"/>
  <c r="V16" i="2"/>
  <c r="V15" i="2"/>
  <c r="Y14" i="4"/>
  <c r="V13" i="2"/>
  <c r="X16" i="2"/>
  <c r="V7" i="2"/>
  <c r="W18" i="2"/>
  <c r="W16" i="2"/>
  <c r="W13" i="2"/>
  <c r="Z8" i="2"/>
  <c r="Y5" i="2"/>
  <c r="V19" i="2"/>
  <c r="W10" i="2"/>
  <c r="U19" i="2"/>
  <c r="U15" i="2"/>
  <c r="V17" i="2"/>
  <c r="Z15" i="2"/>
  <c r="Y6" i="2"/>
  <c r="V9" i="2"/>
  <c r="Y17" i="2"/>
  <c r="W6" i="2"/>
  <c r="X7" i="2"/>
  <c r="U17" i="2"/>
  <c r="U13" i="2"/>
  <c r="W5" i="2"/>
  <c r="V10" i="2"/>
  <c r="Z9" i="2"/>
  <c r="Z17" i="2"/>
  <c r="X10" i="2"/>
  <c r="W8" i="2"/>
  <c r="U11" i="2"/>
  <c r="Y7" i="4"/>
  <c r="U18" i="2"/>
  <c r="U16" i="2"/>
  <c r="U14" i="2"/>
  <c r="Z18" i="4"/>
  <c r="Y16" i="2"/>
  <c r="Z7" i="2"/>
  <c r="X14" i="2"/>
  <c r="Y10" i="2"/>
  <c r="X6" i="2"/>
  <c r="U9" i="2"/>
  <c r="W11" i="2"/>
  <c r="J6" i="4"/>
  <c r="Y18" i="2"/>
  <c r="X11" i="2"/>
  <c r="U10" i="2"/>
  <c r="Y11" i="2"/>
  <c r="V8" i="2"/>
  <c r="X9" i="2"/>
  <c r="Z6" i="2"/>
  <c r="X19" i="4"/>
  <c r="U5" i="2"/>
  <c r="W7" i="2"/>
  <c r="Y7" i="2"/>
  <c r="Z11" i="2"/>
  <c r="Y8" i="4"/>
  <c r="U8" i="2"/>
  <c r="V18" i="2"/>
  <c r="V14" i="2"/>
  <c r="U6" i="2"/>
  <c r="Z5" i="2"/>
  <c r="X13" i="4"/>
  <c r="U14" i="4"/>
  <c r="X5" i="2"/>
  <c r="W15" i="2"/>
  <c r="Y19" i="2"/>
  <c r="Z16" i="4"/>
  <c r="W9" i="2"/>
  <c r="X19" i="2"/>
  <c r="X13" i="2"/>
  <c r="Y9" i="2"/>
  <c r="U7" i="2"/>
  <c r="V6" i="2"/>
  <c r="V11" i="2"/>
  <c r="X8" i="2"/>
  <c r="Y15" i="2"/>
  <c r="Z9" i="4"/>
  <c r="W14" i="2"/>
  <c r="V13" i="4"/>
  <c r="Y8" i="2"/>
  <c r="V5" i="2"/>
  <c r="Z10" i="2"/>
  <c r="Y13" i="2"/>
  <c r="X6" i="4"/>
  <c r="Z16" i="2"/>
  <c r="Z13" i="2"/>
  <c r="J5" i="4"/>
  <c r="W18" i="4"/>
  <c r="U15" i="4"/>
  <c r="X18" i="4"/>
  <c r="Z6" i="4"/>
  <c r="V8" i="4"/>
  <c r="V14" i="4"/>
  <c r="Y13" i="4"/>
  <c r="W7" i="4"/>
  <c r="Y6" i="4"/>
  <c r="X10" i="4"/>
  <c r="X15" i="4"/>
  <c r="X5" i="4"/>
  <c r="U7" i="4"/>
  <c r="Y10" i="4"/>
  <c r="Y15" i="4"/>
  <c r="V15" i="4"/>
  <c r="U19" i="4"/>
  <c r="Y5" i="4"/>
  <c r="V9" i="4"/>
  <c r="Z10" i="4"/>
  <c r="Z13" i="4"/>
  <c r="V19" i="4"/>
  <c r="W14" i="4"/>
  <c r="Z5" i="4"/>
  <c r="X17" i="4"/>
  <c r="W19" i="4"/>
  <c r="X7" i="4"/>
  <c r="V11" i="4"/>
  <c r="U8" i="4"/>
  <c r="W11" i="4"/>
  <c r="V16" i="4"/>
  <c r="Z17" i="4"/>
  <c r="Y19" i="4"/>
  <c r="V6" i="4"/>
  <c r="X11" i="4"/>
  <c r="Z19" i="4"/>
  <c r="W6" i="4"/>
  <c r="V7" i="4"/>
  <c r="Y11" i="4"/>
  <c r="X14" i="4"/>
  <c r="V18" i="4"/>
  <c r="Z11" i="4"/>
  <c r="W8" i="4"/>
  <c r="U9" i="4"/>
  <c r="W15" i="4"/>
  <c r="Z7" i="4"/>
  <c r="X8" i="4"/>
  <c r="Z14" i="4"/>
  <c r="U16" i="4"/>
  <c r="W9" i="4"/>
  <c r="U10" i="4"/>
  <c r="W16" i="4"/>
  <c r="U17" i="4"/>
  <c r="Z8" i="4"/>
  <c r="V17" i="4"/>
  <c r="V5" i="4"/>
  <c r="U11" i="4"/>
  <c r="W5" i="4"/>
  <c r="X9" i="4"/>
  <c r="X16" i="4"/>
  <c r="Y9" i="4"/>
  <c r="U18" i="4"/>
  <c r="U6" i="4"/>
  <c r="U13" i="4"/>
  <c r="Y17" i="4"/>
  <c r="U5" i="4"/>
  <c r="V10" i="4"/>
  <c r="Z15" i="4"/>
  <c r="W10" i="4"/>
  <c r="W17" i="4"/>
  <c r="Y16" i="4"/>
  <c r="W13" i="4"/>
  <c r="Y18" i="4"/>
  <c r="X17" i="2"/>
  <c r="Z14" i="2"/>
  <c r="Y14" i="2"/>
  <c r="J6" i="2"/>
  <c r="J5" i="2"/>
  <c r="T18" i="2" l="1"/>
  <c r="T13" i="2"/>
  <c r="T15" i="2"/>
  <c r="T7" i="2"/>
  <c r="T19" i="2"/>
  <c r="T16" i="2"/>
  <c r="T11" i="2"/>
  <c r="T17" i="2"/>
  <c r="T7" i="4"/>
  <c r="T10" i="2"/>
  <c r="T5" i="2"/>
  <c r="T8" i="2"/>
  <c r="T9" i="2"/>
  <c r="T6" i="4"/>
  <c r="T14" i="4"/>
  <c r="T15" i="4"/>
  <c r="T8" i="4"/>
  <c r="T19" i="4"/>
  <c r="T6" i="2"/>
  <c r="T14" i="2"/>
  <c r="T18" i="4"/>
  <c r="T16" i="4"/>
  <c r="T11" i="4"/>
  <c r="T10" i="4"/>
  <c r="T9" i="4"/>
  <c r="T5" i="4"/>
  <c r="T17" i="4"/>
  <c r="T13" i="4"/>
  <c r="S18" i="2" l="1"/>
  <c r="S14" i="2"/>
  <c r="S16" i="2"/>
  <c r="S17" i="2"/>
  <c r="S19" i="2"/>
  <c r="S15" i="2"/>
  <c r="S13" i="2"/>
  <c r="S9" i="2"/>
  <c r="S17" i="4"/>
  <c r="S8" i="2"/>
  <c r="S5" i="2"/>
  <c r="S14" i="4"/>
  <c r="S10" i="2"/>
  <c r="S18" i="4"/>
  <c r="S11" i="2"/>
  <c r="S16" i="4"/>
  <c r="S6" i="2"/>
  <c r="S19" i="4"/>
  <c r="S13" i="4"/>
  <c r="S15" i="4"/>
  <c r="S7" i="2"/>
  <c r="S10" i="4"/>
  <c r="S9" i="4"/>
  <c r="S11" i="4"/>
  <c r="S7" i="4"/>
  <c r="S8" i="4"/>
</calcChain>
</file>

<file path=xl/sharedStrings.xml><?xml version="1.0" encoding="utf-8"?>
<sst xmlns="http://schemas.openxmlformats.org/spreadsheetml/2006/main" count="147" uniqueCount="45">
  <si>
    <t>ncohort</t>
  </si>
  <si>
    <t>utype</t>
  </si>
  <si>
    <t>rtype</t>
  </si>
  <si>
    <t>bd.sel</t>
  </si>
  <si>
    <t>od.sel</t>
  </si>
  <si>
    <t>bd.pts</t>
  </si>
  <si>
    <t>od.pts</t>
  </si>
  <si>
    <t>earlystop</t>
  </si>
  <si>
    <t>overdose</t>
  </si>
  <si>
    <t>poorall</t>
  </si>
  <si>
    <t>design</t>
  </si>
  <si>
    <t>utpi</t>
  </si>
  <si>
    <t>boinet</t>
  </si>
  <si>
    <t>tepi</t>
  </si>
  <si>
    <t>boin12</t>
  </si>
  <si>
    <t>ji3</t>
  </si>
  <si>
    <t>printe</t>
  </si>
  <si>
    <t>stein</t>
  </si>
  <si>
    <t>Grand Total</t>
  </si>
  <si>
    <t>Sum of bd.sel</t>
  </si>
  <si>
    <t>Sum of od.sel</t>
  </si>
  <si>
    <t>Sum of bd.pts</t>
  </si>
  <si>
    <t>Sum of poorall</t>
  </si>
  <si>
    <t>Sum of overdose</t>
  </si>
  <si>
    <t>uTPI</t>
  </si>
  <si>
    <t>BOIN-ET</t>
  </si>
  <si>
    <t>Joint3+3</t>
  </si>
  <si>
    <t>STEIN</t>
  </si>
  <si>
    <t>PRINTE</t>
  </si>
  <si>
    <t>TEPI</t>
  </si>
  <si>
    <t>BOIN12</t>
  </si>
  <si>
    <t>Sample Size</t>
  </si>
  <si>
    <t>Design</t>
  </si>
  <si>
    <t>OBD Sel%</t>
  </si>
  <si>
    <t>FD Sel%</t>
  </si>
  <si>
    <t>OBD Pts%</t>
  </si>
  <si>
    <t>Poor Pts%</t>
  </si>
  <si>
    <t>ov.sel</t>
  </si>
  <si>
    <t>Sum of ov.sel</t>
  </si>
  <si>
    <t>OV Pts%</t>
  </si>
  <si>
    <t>OV Sel%</t>
  </si>
  <si>
    <t>CompRank</t>
  </si>
  <si>
    <t>$N$</t>
  </si>
  <si>
    <t>\textit{Utility structure $(w_{11}, w_{00}) = (0.6, 0.4)$.}</t>
  </si>
  <si>
    <t>\textit{Utility structure $(w_{11}, w_{00}) = (1, 0)$.}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</si>
</sst>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2" fontId="0" fillId="0" borderId="0" xfId="0" applyNumberFormat="1"/>
    <xf numFmtId="2" fontId="18" fillId="0" borderId="0" xfId="0" applyNumberFormat="1" applyFont="1"/>
    <xf numFmtId="0" fontId="18" fillId="0" borderId="0" xfId="0" applyFont="1"/>
    <xf numFmtId="2" fontId="19" fillId="0" borderId="0" xfId="0" applyNumberFormat="1" applyFon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l" refreshedDate="44778.483381481485" createdVersion="8" refreshedVersion="8" minRefreshableVersion="3" recordCount="29" xr:uid="{C2DC8B8B-59EB-4EBF-A130-C0BF85A17AAA}">
  <cacheSource type="worksheet">
    <worksheetSource ref="A1:L513" sheet="simres.csv"/>
  </cacheSource>
  <cacheFields count="12">
    <cacheField name="ncohort" numFmtId="0">
      <sharedItems containsString="0" containsBlank="1" containsNumber="1" containsInteger="1" minValue="12" maxValue="36" count="4">
        <n v="36"/>
        <n v="18"/>
        <m/>
        <n v="12" u="1"/>
      </sharedItems>
    </cacheField>
    <cacheField name="utype" numFmtId="0">
      <sharedItems containsString="0" containsBlank="1" containsNumber="1" containsInteger="1" minValue="1" maxValue="2" count="3">
        <n v="1"/>
        <n v="2"/>
        <m/>
      </sharedItems>
    </cacheField>
    <cacheField name="rtype" numFmtId="0">
      <sharedItems containsString="0" containsBlank="1" containsNumber="1" containsInteger="1" minValue="1" maxValue="1" count="2">
        <n v="1"/>
        <m/>
      </sharedItems>
    </cacheField>
    <cacheField name="bd.sel" numFmtId="0">
      <sharedItems containsString="0" containsBlank="1" containsNumber="1" minValue="24.8960000000001" maxValue="32.259999999999899"/>
    </cacheField>
    <cacheField name="od.sel" numFmtId="0">
      <sharedItems containsString="0" containsBlank="1" containsNumber="1" minValue="39.330000000000297" maxValue="57.454999999998797"/>
    </cacheField>
    <cacheField name="bd.pts" numFmtId="0">
      <sharedItems containsString="0" containsBlank="1" containsNumber="1" minValue="14.627333333333601" maxValue="26.0977777777779"/>
    </cacheField>
    <cacheField name="od.pts" numFmtId="0">
      <sharedItems containsString="0" containsBlank="1" containsNumber="1" minValue="30.600722222223499" maxValue="46.093055555555601"/>
    </cacheField>
    <cacheField name="earlystop" numFmtId="0">
      <sharedItems containsString="0" containsBlank="1" containsNumber="1" minValue="0.85199999999999998" maxValue="4.6550000000000002"/>
    </cacheField>
    <cacheField name="overdose" numFmtId="0">
      <sharedItems containsString="0" containsBlank="1" containsNumber="1" minValue="0.61194444444444396" maxValue="4.6733333333333702"/>
    </cacheField>
    <cacheField name="poorall" numFmtId="0">
      <sharedItems containsString="0" containsBlank="1" containsNumber="1" minValue="43.089000000000098" maxValue="66.404999999998395"/>
    </cacheField>
    <cacheField name="ov.sel" numFmtId="0">
      <sharedItems containsString="0" containsBlank="1" containsNumber="1" minValue="0.125" maxValue="1.627"/>
    </cacheField>
    <cacheField name="design" numFmtId="0">
      <sharedItems containsBlank="1" count="8">
        <s v="utpi"/>
        <s v="boinet"/>
        <s v="tepi"/>
        <s v="boin12"/>
        <s v="ji3"/>
        <s v="printe"/>
        <s v="stein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n v="30.979999999999901"/>
    <n v="52.689999999999102"/>
    <n v="25.6912500000001"/>
    <n v="44.333750000000002"/>
    <n v="2.0299999999999998"/>
    <n v="1.50430555555555"/>
    <n v="59.194999999998799"/>
    <n v="0.19"/>
    <x v="0"/>
  </r>
  <r>
    <x v="0"/>
    <x v="1"/>
    <x v="0"/>
    <n v="28.975000000000001"/>
    <n v="47.959999999999198"/>
    <n v="24.894166666666798"/>
    <n v="40.636666666666599"/>
    <n v="1.69"/>
    <n v="1.7333333333333301"/>
    <n v="63.424999999998597"/>
    <n v="0.44"/>
    <x v="0"/>
  </r>
  <r>
    <x v="1"/>
    <x v="0"/>
    <x v="0"/>
    <n v="28.117999999999999"/>
    <n v="47.754999999999299"/>
    <n v="22.360499999999799"/>
    <n v="38.577722222222498"/>
    <n v="1.1120000000000001"/>
    <n v="2.1668888888889"/>
    <n v="56.5030000000001"/>
    <n v="0.51"/>
    <x v="0"/>
  </r>
  <r>
    <x v="1"/>
    <x v="1"/>
    <x v="0"/>
    <n v="27.1090000000003"/>
    <n v="44.391000000000098"/>
    <n v="21.893388888888602"/>
    <n v="35.421444444445697"/>
    <n v="1.0880000000000001"/>
    <n v="2.26677777777779"/>
    <n v="60.040000000000298"/>
    <n v="1.127"/>
    <x v="0"/>
  </r>
  <r>
    <x v="0"/>
    <x v="0"/>
    <x v="0"/>
    <n v="29.189999999999898"/>
    <n v="50.584999999999198"/>
    <n v="25.264305555555701"/>
    <n v="43.923472222222301"/>
    <n v="2.31"/>
    <n v="1.8384722222222301"/>
    <n v="63.174999999998597"/>
    <n v="0.13"/>
    <x v="1"/>
  </r>
  <r>
    <x v="0"/>
    <x v="1"/>
    <x v="0"/>
    <n v="29.44"/>
    <n v="48.354999999999301"/>
    <n v="25.155416666666799"/>
    <n v="41.592083333333299"/>
    <n v="2.2050000000000001"/>
    <n v="1.97611111111111"/>
    <n v="62.864999999998602"/>
    <n v="0.48499999999999999"/>
    <x v="1"/>
  </r>
  <r>
    <x v="1"/>
    <x v="0"/>
    <x v="0"/>
    <n v="27.545000000000101"/>
    <n v="47.382999999999399"/>
    <n v="22.404277777777502"/>
    <n v="38.987055555555798"/>
    <n v="1.325"/>
    <n v="2.3324444444444601"/>
    <n v="60.975999999999999"/>
    <n v="0.39200000000000002"/>
    <x v="1"/>
  </r>
  <r>
    <x v="1"/>
    <x v="1"/>
    <x v="0"/>
    <n v="27.0130000000004"/>
    <n v="44.561999999999998"/>
    <n v="21.8933333333331"/>
    <n v="35.849444444445702"/>
    <n v="1.31"/>
    <n v="2.5296111111111301"/>
    <n v="60.947999999999901"/>
    <n v="1.0780000000000001"/>
    <x v="1"/>
  </r>
  <r>
    <x v="0"/>
    <x v="0"/>
    <x v="0"/>
    <n v="30.035000000000199"/>
    <n v="55.909999999999002"/>
    <n v="18.685972222222201"/>
    <n v="37.641388888888997"/>
    <n v="2.2400000000000002"/>
    <n v="4.4872222222222504"/>
    <n v="66.404999999998395"/>
    <n v="0.35499999999999998"/>
    <x v="2"/>
  </r>
  <r>
    <x v="0"/>
    <x v="1"/>
    <x v="0"/>
    <n v="30.070000000000299"/>
    <n v="57.299999999998903"/>
    <n v="19.6695833333333"/>
    <n v="46.093055555555601"/>
    <n v="2.2250000000000001"/>
    <n v="4.6733333333333702"/>
    <n v="64.514999999998494"/>
    <n v="0.65"/>
    <x v="2"/>
  </r>
  <r>
    <x v="1"/>
    <x v="0"/>
    <x v="0"/>
    <n v="26.571000000001099"/>
    <n v="50.233999999998296"/>
    <n v="14.627333333333601"/>
    <n v="32.378722222221299"/>
    <n v="1.4610000000000001"/>
    <n v="4.2002222222223002"/>
    <n v="58.772999999998198"/>
    <n v="0.72000000000000097"/>
    <x v="2"/>
  </r>
  <r>
    <x v="1"/>
    <x v="1"/>
    <x v="0"/>
    <n v="26.009000000001301"/>
    <n v="50.924999999998597"/>
    <n v="15.5365"/>
    <n v="37.101222222221899"/>
    <n v="1.4890000000000001"/>
    <n v="4.3541111111111999"/>
    <n v="56.888999999998397"/>
    <n v="1.627"/>
    <x v="2"/>
  </r>
  <r>
    <x v="0"/>
    <x v="0"/>
    <x v="0"/>
    <n v="32.259999999999899"/>
    <n v="57.174999999998803"/>
    <n v="24.956666666666901"/>
    <n v="43.965416666666798"/>
    <n v="3.08"/>
    <n v="1.4272222222222199"/>
    <n v="50.034999999999101"/>
    <n v="0.36"/>
    <x v="3"/>
  </r>
  <r>
    <x v="0"/>
    <x v="1"/>
    <x v="0"/>
    <n v="31.420000000000201"/>
    <n v="57.454999999998797"/>
    <n v="24.6533333333334"/>
    <n v="43.166527777777702"/>
    <n v="2.415"/>
    <n v="2.2013888888888999"/>
    <n v="47.459999999999397"/>
    <n v="0.95"/>
    <x v="3"/>
  </r>
  <r>
    <x v="1"/>
    <x v="0"/>
    <x v="0"/>
    <n v="28.0130000000003"/>
    <n v="50.030999999999302"/>
    <n v="21.499555555555499"/>
    <n v="38.727611111111102"/>
    <n v="1.4670000000000001"/>
    <n v="1.9801666666666899"/>
    <n v="48.7060000000006"/>
    <n v="0.53600000000000003"/>
    <x v="3"/>
  </r>
  <r>
    <x v="1"/>
    <x v="1"/>
    <x v="0"/>
    <n v="28.0340000000012"/>
    <n v="52.160999999999298"/>
    <n v="21.224722222221899"/>
    <n v="38.4032777777782"/>
    <n v="1.2709999999999999"/>
    <n v="3.09061111111117"/>
    <n v="43.089000000000098"/>
    <n v="1.6180000000000001"/>
    <x v="3"/>
  </r>
  <r>
    <x v="0"/>
    <x v="0"/>
    <x v="0"/>
    <n v="30.61"/>
    <n v="52.3249999999992"/>
    <n v="26.0977777777779"/>
    <n v="44.713611111111199"/>
    <n v="1.41"/>
    <n v="2.6484722222222299"/>
    <n v="60.834999999998701"/>
    <n v="0.15"/>
    <x v="4"/>
  </r>
  <r>
    <x v="0"/>
    <x v="1"/>
    <x v="0"/>
    <n v="29.815000000000001"/>
    <n v="50.224999999999199"/>
    <n v="25.390277777777801"/>
    <n v="42.814722222222201"/>
    <n v="1.37"/>
    <n v="2.9884722222222302"/>
    <n v="60.984999999998699"/>
    <n v="0.49"/>
    <x v="4"/>
  </r>
  <r>
    <x v="1"/>
    <x v="0"/>
    <x v="0"/>
    <n v="28.542000000000101"/>
    <n v="48.8159999999992"/>
    <n v="22.6198888888885"/>
    <n v="39.559333333333498"/>
    <n v="0.85199999999999998"/>
    <n v="3.1053333333333599"/>
    <n v="59.060999999999403"/>
    <n v="0.49"/>
    <x v="4"/>
  </r>
  <r>
    <x v="1"/>
    <x v="1"/>
    <x v="0"/>
    <n v="27.750000000000501"/>
    <n v="46.343000000000004"/>
    <n v="22.046888888888599"/>
    <n v="36.714166666668"/>
    <n v="0.86599999999999999"/>
    <n v="3.34405555555559"/>
    <n v="59.177999999999301"/>
    <n v="1.282"/>
    <x v="4"/>
  </r>
  <r>
    <x v="0"/>
    <x v="0"/>
    <x v="0"/>
    <n v="29.944999999999901"/>
    <n v="50.484999999999197"/>
    <n v="24.234305555555601"/>
    <n v="41.492638888888898"/>
    <n v="2.2599999999999998"/>
    <n v="1.09402777777778"/>
    <n v="63.029999999998502"/>
    <n v="0.14000000000000001"/>
    <x v="5"/>
  </r>
  <r>
    <x v="0"/>
    <x v="1"/>
    <x v="0"/>
    <n v="29.065000000000001"/>
    <n v="47.334999999999297"/>
    <n v="23.925555555555601"/>
    <n v="38.9462499999999"/>
    <n v="2.2650000000000001"/>
    <n v="1.21444444444444"/>
    <n v="63.319999999998501"/>
    <n v="0.495"/>
    <x v="5"/>
  </r>
  <r>
    <x v="1"/>
    <x v="0"/>
    <x v="0"/>
    <n v="26.408000000000001"/>
    <n v="45.445999999999302"/>
    <n v="20.7879444444442"/>
    <n v="35.766444444444701"/>
    <n v="1.4750000000000001"/>
    <n v="1.0882777777777799"/>
    <n v="61.966000000002097"/>
    <n v="0.309"/>
    <x v="5"/>
  </r>
  <r>
    <x v="1"/>
    <x v="1"/>
    <x v="0"/>
    <n v="25.822000000000301"/>
    <n v="42.2100000000001"/>
    <n v="20.3869444444442"/>
    <n v="32.609888888890097"/>
    <n v="1.474"/>
    <n v="1.1706111111111099"/>
    <n v="62.530000000002097"/>
    <n v="0.90100000000000002"/>
    <x v="5"/>
  </r>
  <r>
    <x v="0"/>
    <x v="0"/>
    <x v="0"/>
    <n v="28.534999999999801"/>
    <n v="48.054999999999197"/>
    <n v="23.577361111111198"/>
    <n v="40.080694444444497"/>
    <n v="4.46"/>
    <n v="0.63097222222222005"/>
    <n v="63.069999999998601"/>
    <n v="0.125"/>
    <x v="6"/>
  </r>
  <r>
    <x v="0"/>
    <x v="1"/>
    <x v="0"/>
    <n v="27.724999999999898"/>
    <n v="43.9099999999993"/>
    <n v="23.026944444444499"/>
    <n v="35.786249999999903"/>
    <n v="4.6550000000000002"/>
    <n v="0.61194444444444396"/>
    <n v="63.779999999998502"/>
    <n v="0.37"/>
    <x v="6"/>
  </r>
  <r>
    <x v="1"/>
    <x v="0"/>
    <x v="0"/>
    <n v="25.1789999999998"/>
    <n v="42.964999999999598"/>
    <n v="20.4200555555554"/>
    <n v="34.608833333333898"/>
    <n v="2.5230000000000001"/>
    <n v="0.67683333333333195"/>
    <n v="63.348000000003402"/>
    <n v="0.24299999999999999"/>
    <x v="6"/>
  </r>
  <r>
    <x v="1"/>
    <x v="1"/>
    <x v="0"/>
    <n v="24.8960000000001"/>
    <n v="39.330000000000297"/>
    <n v="19.942277777777601"/>
    <n v="30.600722222223499"/>
    <n v="2.48"/>
    <n v="0.74461111111111"/>
    <n v="63.984000000003199"/>
    <n v="0.65600000000000003"/>
    <x v="6"/>
  </r>
  <r>
    <x v="2"/>
    <x v="2"/>
    <x v="1"/>
    <m/>
    <m/>
    <m/>
    <m/>
    <m/>
    <m/>
    <m/>
    <m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C380DE-3DBC-4D5C-ABF7-2833D249C2DA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19" firstHeaderRow="0" firstDataRow="1" firstDataCol="2" rowPageCount="2" colPageCount="1"/>
  <pivotFields count="12">
    <pivotField axis="axisRow" compact="0" outline="0" showAll="0" defaultSubtotal="0">
      <items count="4">
        <item m="1" x="3"/>
        <item x="1"/>
        <item x="2"/>
        <item x="0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</pivotFields>
  <rowFields count="2">
    <field x="0"/>
    <field x="11"/>
  </rowFields>
  <rowItems count="15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1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EFC68-4F4E-4BB5-8CE9-F82E6F6929A0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4:H19" firstHeaderRow="0" firstDataRow="1" firstDataCol="2" rowPageCount="2" colPageCount="1"/>
  <pivotFields count="12">
    <pivotField axis="axisRow" compact="0" outline="0" showAll="0" defaultSubtotal="0">
      <items count="4">
        <item m="1" x="3"/>
        <item x="1"/>
        <item x="2"/>
        <item x="0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</pivotFields>
  <rowFields count="2">
    <field x="0"/>
    <field x="11"/>
  </rowFields>
  <rowItems count="15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2" item="0" hier="-1"/>
    <pageField fld="1" item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BC985-5D75-4E29-9AC2-482EA8FC9416}">
  <dimension ref="A2:I35"/>
  <sheetViews>
    <sheetView tabSelected="1" workbookViewId="0">
      <selection activeCell="J10" sqref="J10"/>
    </sheetView>
  </sheetViews>
  <sheetFormatPr defaultRowHeight="14.75"/>
  <sheetData>
    <row r="2" spans="1:9">
      <c r="A2" t="s">
        <v>42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39</v>
      </c>
      <c r="H2" t="s">
        <v>40</v>
      </c>
      <c r="I2" t="s">
        <v>41</v>
      </c>
    </row>
    <row r="3" spans="1:9">
      <c r="A3" s="9" t="s">
        <v>44</v>
      </c>
      <c r="B3" s="9"/>
      <c r="C3" s="9"/>
      <c r="D3" s="9"/>
      <c r="E3" s="9"/>
      <c r="F3" s="9"/>
      <c r="G3" s="9"/>
      <c r="H3" s="9"/>
      <c r="I3" s="9"/>
    </row>
    <row r="4" spans="1:9">
      <c r="A4">
        <v>54</v>
      </c>
      <c r="B4" t="str">
        <f>efficacy!L5</f>
        <v>uTPI</v>
      </c>
      <c r="C4" s="6">
        <f>efficacy!M5</f>
        <v>27.1090000000003</v>
      </c>
      <c r="D4" s="6">
        <f>efficacy!N5</f>
        <v>44.391000000000098</v>
      </c>
      <c r="E4" s="6">
        <f>efficacy!O5</f>
        <v>21.893388888888602</v>
      </c>
      <c r="F4" s="6">
        <f>efficacy!P5</f>
        <v>60.040000000000298</v>
      </c>
      <c r="G4" s="6">
        <f>efficacy!Q5</f>
        <v>2.26677777777779</v>
      </c>
      <c r="H4" s="6">
        <f>efficacy!R5</f>
        <v>1.127</v>
      </c>
      <c r="I4" t="str">
        <f>efficacy!S5 &amp; " ("&amp;TEXT(efficacy!T5,"0.00")&amp;")"</f>
        <v>3 (3.50)</v>
      </c>
    </row>
    <row r="5" spans="1:9">
      <c r="B5" t="str">
        <f>efficacy!L6</f>
        <v>BOIN-ET</v>
      </c>
      <c r="C5" s="6">
        <f>efficacy!M6</f>
        <v>27.0130000000004</v>
      </c>
      <c r="D5" s="6">
        <f>efficacy!N6</f>
        <v>44.561999999999998</v>
      </c>
      <c r="E5" s="6">
        <f>efficacy!O6</f>
        <v>21.8933333333331</v>
      </c>
      <c r="F5" s="6">
        <f>efficacy!P6</f>
        <v>60.947999999999901</v>
      </c>
      <c r="G5" s="6">
        <f>efficacy!Q6</f>
        <v>2.5296111111111301</v>
      </c>
      <c r="H5" s="6">
        <f>efficacy!R6</f>
        <v>1.0780000000000001</v>
      </c>
      <c r="I5" t="str">
        <f>efficacy!S6 &amp; " ("&amp;TEXT(efficacy!T6,"0.00")&amp;")"</f>
        <v>4 (3.83)</v>
      </c>
    </row>
    <row r="6" spans="1:9">
      <c r="B6" t="str">
        <f>efficacy!L7</f>
        <v>Joint3+3</v>
      </c>
      <c r="C6" s="6">
        <f>efficacy!M7</f>
        <v>27.750000000000501</v>
      </c>
      <c r="D6" s="6">
        <f>efficacy!N7</f>
        <v>46.343000000000004</v>
      </c>
      <c r="E6" s="8">
        <f>efficacy!O7</f>
        <v>22.046888888888599</v>
      </c>
      <c r="F6" s="6">
        <f>efficacy!P7</f>
        <v>59.177999999999301</v>
      </c>
      <c r="G6" s="6">
        <f>efficacy!Q7</f>
        <v>3.34405555555559</v>
      </c>
      <c r="H6" s="6">
        <f>efficacy!R7</f>
        <v>1.282</v>
      </c>
      <c r="I6" t="str">
        <f>efficacy!S7 &amp; " ("&amp;TEXT(efficacy!T7,"0.00")&amp;")"</f>
        <v>2 (3.33)</v>
      </c>
    </row>
    <row r="7" spans="1:9">
      <c r="B7" t="str">
        <f>efficacy!L8</f>
        <v>STEIN</v>
      </c>
      <c r="C7" s="6">
        <f>efficacy!M8</f>
        <v>24.8960000000001</v>
      </c>
      <c r="D7" s="6">
        <f>efficacy!N8</f>
        <v>39.330000000000297</v>
      </c>
      <c r="E7" s="6">
        <f>efficacy!O8</f>
        <v>19.942277777777601</v>
      </c>
      <c r="F7" s="6">
        <f>efficacy!P8</f>
        <v>63.984000000003199</v>
      </c>
      <c r="G7" s="8">
        <f>efficacy!Q8</f>
        <v>0.74461111111111</v>
      </c>
      <c r="H7" s="8">
        <f>efficacy!R8</f>
        <v>0.65600000000000003</v>
      </c>
      <c r="I7" t="str">
        <f>efficacy!S8 &amp; " ("&amp;TEXT(efficacy!T8,"0.00")&amp;")"</f>
        <v>6 (4.83)</v>
      </c>
    </row>
    <row r="8" spans="1:9">
      <c r="B8" t="str">
        <f>efficacy!L9</f>
        <v>PRINTE</v>
      </c>
      <c r="C8" s="6">
        <f>efficacy!M9</f>
        <v>25.822000000000301</v>
      </c>
      <c r="D8" s="6">
        <f>efficacy!N9</f>
        <v>42.2100000000001</v>
      </c>
      <c r="E8" s="6">
        <f>efficacy!O9</f>
        <v>20.3869444444442</v>
      </c>
      <c r="F8" s="6">
        <f>efficacy!P9</f>
        <v>62.530000000002097</v>
      </c>
      <c r="G8" s="6">
        <f>efficacy!Q9</f>
        <v>1.1706111111111099</v>
      </c>
      <c r="H8" s="6">
        <f>efficacy!R9</f>
        <v>0.90100000000000002</v>
      </c>
      <c r="I8" t="str">
        <f>efficacy!S9 &amp; " ("&amp;TEXT(efficacy!T9,"0.00")&amp;")"</f>
        <v>5 (4.50)</v>
      </c>
    </row>
    <row r="9" spans="1:9">
      <c r="B9" t="str">
        <f>efficacy!L10</f>
        <v>TEPI</v>
      </c>
      <c r="C9" s="6">
        <f>efficacy!M10</f>
        <v>26.009000000001301</v>
      </c>
      <c r="D9" s="6">
        <f>efficacy!N10</f>
        <v>50.924999999998597</v>
      </c>
      <c r="E9" s="6">
        <f>efficacy!O10</f>
        <v>15.5365</v>
      </c>
      <c r="F9" s="6">
        <f>efficacy!P10</f>
        <v>56.888999999998397</v>
      </c>
      <c r="G9" s="6">
        <f>efficacy!Q10</f>
        <v>4.3541111111111999</v>
      </c>
      <c r="H9" s="6">
        <f>efficacy!R10</f>
        <v>1.627</v>
      </c>
      <c r="I9" t="str">
        <f>efficacy!S10 &amp; " ("&amp;TEXT(efficacy!T10,"0.00")&amp;")"</f>
        <v>7 (5.00)</v>
      </c>
    </row>
    <row r="10" spans="1:9">
      <c r="B10" t="str">
        <f>efficacy!L11</f>
        <v>BOIN12</v>
      </c>
      <c r="C10" s="8">
        <f>efficacy!M11</f>
        <v>28.0340000000012</v>
      </c>
      <c r="D10" s="8">
        <f>efficacy!N11</f>
        <v>52.160999999999298</v>
      </c>
      <c r="E10" s="6">
        <f>efficacy!O11</f>
        <v>21.224722222221899</v>
      </c>
      <c r="F10" s="8">
        <f>efficacy!P11</f>
        <v>43.089000000000098</v>
      </c>
      <c r="G10" s="6">
        <f>efficacy!Q11</f>
        <v>3.09061111111117</v>
      </c>
      <c r="H10" s="6">
        <f>efficacy!R11</f>
        <v>1.6180000000000001</v>
      </c>
      <c r="I10" t="str">
        <f>efficacy!S11 &amp; " ("&amp;TEXT(efficacy!T11,"0.00")&amp;")"</f>
        <v>1 (3.00)</v>
      </c>
    </row>
    <row r="11" spans="1:9">
      <c r="C11" s="5"/>
      <c r="D11" s="5"/>
      <c r="E11" s="5"/>
      <c r="F11" s="5"/>
      <c r="G11" s="5"/>
      <c r="H11" s="5"/>
    </row>
    <row r="12" spans="1:9">
      <c r="A12">
        <v>108</v>
      </c>
      <c r="B12" t="str">
        <f>utility!L13</f>
        <v>uTPI</v>
      </c>
      <c r="C12" s="6">
        <f>efficacy!M13</f>
        <v>28.975000000000001</v>
      </c>
      <c r="D12" s="6">
        <f>efficacy!N13</f>
        <v>47.959999999999198</v>
      </c>
      <c r="E12" s="6">
        <f>efficacy!O13</f>
        <v>24.894166666666798</v>
      </c>
      <c r="F12" s="6">
        <f>efficacy!P13</f>
        <v>63.424999999998597</v>
      </c>
      <c r="G12" s="6">
        <f>efficacy!Q13</f>
        <v>1.7333333333333301</v>
      </c>
      <c r="H12" s="6">
        <f>efficacy!R13</f>
        <v>0.44</v>
      </c>
      <c r="I12" t="str">
        <f>efficacy!S13 &amp; " ("&amp;TEXT(efficacy!T13,"0.00")&amp;")"</f>
        <v>4 (4.00)</v>
      </c>
    </row>
    <row r="13" spans="1:9">
      <c r="B13" t="str">
        <f>utility!L14</f>
        <v>BOIN-ET</v>
      </c>
      <c r="C13" s="6">
        <f>efficacy!M14</f>
        <v>29.44</v>
      </c>
      <c r="D13" s="6">
        <f>efficacy!N14</f>
        <v>48.354999999999301</v>
      </c>
      <c r="E13" s="6">
        <f>efficacy!O14</f>
        <v>25.155416666666799</v>
      </c>
      <c r="F13" s="6">
        <f>efficacy!P14</f>
        <v>62.864999999998602</v>
      </c>
      <c r="G13" s="6">
        <f>efficacy!Q14</f>
        <v>1.97611111111111</v>
      </c>
      <c r="H13" s="6">
        <f>efficacy!R14</f>
        <v>0.48499999999999999</v>
      </c>
      <c r="I13" t="str">
        <f>efficacy!S14 &amp; " ("&amp;TEXT(efficacy!T14,"0.00")&amp;")"</f>
        <v>3 (3.33)</v>
      </c>
    </row>
    <row r="14" spans="1:9">
      <c r="B14" t="str">
        <f>utility!L15</f>
        <v>Joint3+3</v>
      </c>
      <c r="C14" s="6">
        <f>efficacy!M15</f>
        <v>29.815000000000001</v>
      </c>
      <c r="D14" s="6">
        <f>efficacy!N15</f>
        <v>50.224999999999199</v>
      </c>
      <c r="E14" s="8">
        <f>efficacy!O15</f>
        <v>25.390277777777801</v>
      </c>
      <c r="F14" s="6">
        <f>efficacy!P15</f>
        <v>60.984999999998699</v>
      </c>
      <c r="G14" s="6">
        <f>efficacy!Q15</f>
        <v>2.9884722222222302</v>
      </c>
      <c r="H14" s="6">
        <f>efficacy!R15</f>
        <v>0.49</v>
      </c>
      <c r="I14" t="str">
        <f>efficacy!S15 &amp; " ("&amp;TEXT(efficacy!T15,"0.00")&amp;")"</f>
        <v>1 (3.17)</v>
      </c>
    </row>
    <row r="15" spans="1:9">
      <c r="B15" t="str">
        <f>utility!L16</f>
        <v>STEIN</v>
      </c>
      <c r="C15" s="6">
        <f>efficacy!M16</f>
        <v>27.724999999999898</v>
      </c>
      <c r="D15" s="6">
        <f>efficacy!N16</f>
        <v>43.9099999999993</v>
      </c>
      <c r="E15" s="6">
        <f>efficacy!O16</f>
        <v>23.026944444444499</v>
      </c>
      <c r="F15" s="6">
        <f>efficacy!P16</f>
        <v>63.779999999998502</v>
      </c>
      <c r="G15" s="8">
        <f>efficacy!Q16</f>
        <v>0.61194444444444396</v>
      </c>
      <c r="H15" s="8">
        <f>efficacy!R16</f>
        <v>0.37</v>
      </c>
      <c r="I15" t="str">
        <f>efficacy!S16 &amp; " ("&amp;TEXT(efficacy!T16,"0.00")&amp;")"</f>
        <v>6 (4.67)</v>
      </c>
    </row>
    <row r="16" spans="1:9">
      <c r="B16" t="str">
        <f>utility!L17</f>
        <v>PRINTE</v>
      </c>
      <c r="C16" s="6">
        <f>efficacy!M17</f>
        <v>29.065000000000001</v>
      </c>
      <c r="D16" s="6">
        <f>efficacy!N17</f>
        <v>47.334999999999297</v>
      </c>
      <c r="E16" s="6">
        <f>efficacy!O17</f>
        <v>23.925555555555601</v>
      </c>
      <c r="F16" s="6">
        <f>efficacy!P17</f>
        <v>63.319999999998501</v>
      </c>
      <c r="G16" s="6">
        <f>efficacy!Q17</f>
        <v>1.21444444444444</v>
      </c>
      <c r="H16" s="6">
        <f>efficacy!R17</f>
        <v>0.495</v>
      </c>
      <c r="I16" t="str">
        <f>efficacy!S17 &amp; " ("&amp;TEXT(efficacy!T17,"0.00")&amp;")"</f>
        <v>5 (4.50)</v>
      </c>
    </row>
    <row r="17" spans="1:9">
      <c r="B17" t="str">
        <f>utility!L18</f>
        <v>TEPI</v>
      </c>
      <c r="C17" s="6">
        <f>efficacy!M18</f>
        <v>30.070000000000299</v>
      </c>
      <c r="D17" s="6">
        <f>efficacy!N18</f>
        <v>57.299999999998903</v>
      </c>
      <c r="E17" s="6">
        <f>efficacy!O18</f>
        <v>19.6695833333333</v>
      </c>
      <c r="F17" s="6">
        <f>efficacy!P18</f>
        <v>64.514999999998494</v>
      </c>
      <c r="G17" s="6">
        <f>efficacy!Q18</f>
        <v>4.6733333333333702</v>
      </c>
      <c r="H17" s="6">
        <f>efficacy!R18</f>
        <v>0.65</v>
      </c>
      <c r="I17" t="str">
        <f>efficacy!S18 &amp; " ("&amp;TEXT(efficacy!T18,"0.00")&amp;")"</f>
        <v>7 (5.17)</v>
      </c>
    </row>
    <row r="18" spans="1:9">
      <c r="B18" t="str">
        <f>utility!L19</f>
        <v>BOIN12</v>
      </c>
      <c r="C18" s="8">
        <f>efficacy!M19</f>
        <v>31.420000000000201</v>
      </c>
      <c r="D18" s="8">
        <f>efficacy!N19</f>
        <v>57.454999999998797</v>
      </c>
      <c r="E18" s="6">
        <f>efficacy!O19</f>
        <v>24.6533333333334</v>
      </c>
      <c r="F18" s="8">
        <f>efficacy!P19</f>
        <v>47.459999999999397</v>
      </c>
      <c r="G18" s="6">
        <f>efficacy!Q19</f>
        <v>2.2013888888888999</v>
      </c>
      <c r="H18" s="6">
        <f>efficacy!R19</f>
        <v>0.95</v>
      </c>
      <c r="I18" t="str">
        <f>efficacy!S19 &amp; " ("&amp;TEXT(efficacy!T19,"0.00")&amp;")"</f>
        <v>1 (3.17)</v>
      </c>
    </row>
    <row r="20" spans="1:9">
      <c r="A20" s="9" t="s">
        <v>43</v>
      </c>
      <c r="B20" s="9"/>
      <c r="C20" s="9"/>
      <c r="D20" s="9"/>
      <c r="E20" s="9"/>
      <c r="F20" s="9"/>
      <c r="G20" s="9"/>
      <c r="H20" s="9"/>
      <c r="I20" s="9"/>
    </row>
    <row r="21" spans="1:9">
      <c r="A21">
        <v>54</v>
      </c>
      <c r="B21" t="str">
        <f>efficacy!L5</f>
        <v>uTPI</v>
      </c>
      <c r="C21" s="6">
        <f>utility!M5</f>
        <v>28.117999999999999</v>
      </c>
      <c r="D21" s="6">
        <f>utility!N5</f>
        <v>47.754999999999299</v>
      </c>
      <c r="E21" s="6">
        <f>utility!O5</f>
        <v>22.360499999999799</v>
      </c>
      <c r="F21" s="6">
        <f>utility!P5</f>
        <v>56.5030000000001</v>
      </c>
      <c r="G21" s="6">
        <f>utility!Q5</f>
        <v>2.1668888888889</v>
      </c>
      <c r="H21" s="6">
        <f>utility!R5</f>
        <v>0.51</v>
      </c>
      <c r="I21" t="str">
        <f>utility!S5 &amp; " ("&amp;TEXT(utility!T5,"0.00")&amp;")"</f>
        <v>3 (3.33)</v>
      </c>
    </row>
    <row r="22" spans="1:9">
      <c r="B22" t="str">
        <f>efficacy!L6</f>
        <v>BOIN-ET</v>
      </c>
      <c r="C22" s="6">
        <f>utility!M6</f>
        <v>27.545000000000101</v>
      </c>
      <c r="D22" s="6">
        <f>utility!N6</f>
        <v>47.382999999999399</v>
      </c>
      <c r="E22" s="6">
        <f>utility!O6</f>
        <v>22.404277777777502</v>
      </c>
      <c r="F22" s="6">
        <f>utility!P6</f>
        <v>60.975999999999999</v>
      </c>
      <c r="G22" s="6">
        <f>utility!Q6</f>
        <v>2.3324444444444601</v>
      </c>
      <c r="H22" s="6">
        <f>utility!R6</f>
        <v>0.39200000000000002</v>
      </c>
      <c r="I22" t="str">
        <f>utility!S6 &amp; " ("&amp;TEXT(utility!T6,"0.00")&amp;")"</f>
        <v>4 (4.00)</v>
      </c>
    </row>
    <row r="23" spans="1:9">
      <c r="B23" t="str">
        <f>efficacy!L7</f>
        <v>Joint3+3</v>
      </c>
      <c r="C23" s="8">
        <f>utility!M7</f>
        <v>28.542000000000101</v>
      </c>
      <c r="D23" s="6">
        <f>utility!N7</f>
        <v>48.8159999999992</v>
      </c>
      <c r="E23" s="8">
        <f>utility!O7</f>
        <v>22.6198888888885</v>
      </c>
      <c r="F23" s="6">
        <f>utility!P7</f>
        <v>59.060999999999403</v>
      </c>
      <c r="G23" s="6">
        <f>utility!Q7</f>
        <v>3.1053333333333599</v>
      </c>
      <c r="H23" s="6">
        <f>utility!R7</f>
        <v>0.49</v>
      </c>
      <c r="I23" t="str">
        <f>utility!S7 &amp; " ("&amp;TEXT(utility!T7,"0.00")&amp;")"</f>
        <v>1 (3.17)</v>
      </c>
    </row>
    <row r="24" spans="1:9">
      <c r="B24" t="str">
        <f>efficacy!L8</f>
        <v>STEIN</v>
      </c>
      <c r="C24" s="6">
        <f>utility!M8</f>
        <v>25.1789999999998</v>
      </c>
      <c r="D24" s="6">
        <f>utility!N8</f>
        <v>42.964999999999598</v>
      </c>
      <c r="E24" s="6">
        <f>utility!O8</f>
        <v>20.4200555555554</v>
      </c>
      <c r="F24" s="6">
        <f>utility!P8</f>
        <v>63.348000000003402</v>
      </c>
      <c r="G24" s="8">
        <f>utility!Q8</f>
        <v>0.67683333333333195</v>
      </c>
      <c r="H24" s="8">
        <f>utility!R8</f>
        <v>0.24299999999999999</v>
      </c>
      <c r="I24" t="str">
        <f>utility!S8 &amp; " ("&amp;TEXT(utility!T8,"0.00")&amp;")"</f>
        <v>6 (4.83)</v>
      </c>
    </row>
    <row r="25" spans="1:9">
      <c r="B25" t="str">
        <f>efficacy!L9</f>
        <v>PRINTE</v>
      </c>
      <c r="C25" s="6">
        <f>utility!M9</f>
        <v>26.408000000000001</v>
      </c>
      <c r="D25" s="6">
        <f>utility!N9</f>
        <v>45.445999999999302</v>
      </c>
      <c r="E25" s="6">
        <f>utility!O9</f>
        <v>20.7879444444442</v>
      </c>
      <c r="F25" s="6">
        <f>utility!P9</f>
        <v>61.966000000002097</v>
      </c>
      <c r="G25" s="6">
        <f>utility!Q9</f>
        <v>1.0882777777777799</v>
      </c>
      <c r="H25" s="6">
        <f>utility!R9</f>
        <v>0.309</v>
      </c>
      <c r="I25" t="str">
        <f>utility!S9 &amp; " ("&amp;TEXT(utility!T9,"0.00")&amp;")"</f>
        <v>5 (4.50)</v>
      </c>
    </row>
    <row r="26" spans="1:9">
      <c r="B26" t="str">
        <f>efficacy!L10</f>
        <v>TEPI</v>
      </c>
      <c r="C26" s="6">
        <f>utility!M10</f>
        <v>26.571000000001099</v>
      </c>
      <c r="D26" s="8">
        <f>utility!N10</f>
        <v>50.233999999998296</v>
      </c>
      <c r="E26" s="6">
        <f>utility!O10</f>
        <v>14.627333333333601</v>
      </c>
      <c r="F26" s="6">
        <f>utility!P10</f>
        <v>58.772999999998198</v>
      </c>
      <c r="G26" s="6">
        <f>utility!Q10</f>
        <v>4.2002222222223002</v>
      </c>
      <c r="H26" s="6">
        <f>utility!R10</f>
        <v>0.72000000000000097</v>
      </c>
      <c r="I26" t="str">
        <f>utility!S10 &amp; " ("&amp;TEXT(utility!T10,"0.00")&amp;")"</f>
        <v>7 (5.00)</v>
      </c>
    </row>
    <row r="27" spans="1:9">
      <c r="B27" t="str">
        <f>efficacy!L11</f>
        <v>BOIN12</v>
      </c>
      <c r="C27" s="6">
        <f>utility!M11</f>
        <v>28.0130000000003</v>
      </c>
      <c r="D27" s="6">
        <f>utility!N11</f>
        <v>50.030999999999302</v>
      </c>
      <c r="E27" s="6">
        <f>utility!O11</f>
        <v>21.499555555555499</v>
      </c>
      <c r="F27" s="8">
        <f>utility!P11</f>
        <v>48.7060000000006</v>
      </c>
      <c r="G27" s="6">
        <f>utility!Q11</f>
        <v>1.9801666666666899</v>
      </c>
      <c r="H27" s="6">
        <f>utility!R11</f>
        <v>0.53600000000000003</v>
      </c>
      <c r="I27" t="str">
        <f>utility!S11 &amp; " ("&amp;TEXT(utility!T11,"0.00")&amp;")"</f>
        <v>1 (3.17)</v>
      </c>
    </row>
    <row r="29" spans="1:9">
      <c r="A29">
        <v>108</v>
      </c>
      <c r="B29" t="str">
        <f>efficacy!L13</f>
        <v>uTPI</v>
      </c>
      <c r="C29" s="6">
        <f>utility!M13</f>
        <v>30.979999999999901</v>
      </c>
      <c r="D29" s="6">
        <f>utility!N13</f>
        <v>52.689999999999102</v>
      </c>
      <c r="E29" s="6">
        <f>utility!O13</f>
        <v>25.6912500000001</v>
      </c>
      <c r="F29" s="6">
        <f>utility!P13</f>
        <v>59.194999999998799</v>
      </c>
      <c r="G29" s="6">
        <f>utility!Q13</f>
        <v>1.50430555555555</v>
      </c>
      <c r="H29" s="6">
        <f>utility!R13</f>
        <v>0.19</v>
      </c>
      <c r="I29" t="str">
        <f>utility!S13 &amp; " ("&amp;TEXT(utility!T13,"0.00")&amp;")"</f>
        <v>2 (3.00)</v>
      </c>
    </row>
    <row r="30" spans="1:9">
      <c r="B30" t="str">
        <f>efficacy!L14</f>
        <v>BOIN-ET</v>
      </c>
      <c r="C30" s="6">
        <f>utility!M14</f>
        <v>29.189999999999898</v>
      </c>
      <c r="D30" s="6">
        <f>utility!N14</f>
        <v>50.584999999999198</v>
      </c>
      <c r="E30" s="6">
        <f>utility!O14</f>
        <v>25.264305555555701</v>
      </c>
      <c r="F30" s="6">
        <f>utility!P14</f>
        <v>63.174999999998597</v>
      </c>
      <c r="G30" s="6">
        <f>utility!Q14</f>
        <v>1.8384722222222301</v>
      </c>
      <c r="H30" s="6">
        <f>utility!R14</f>
        <v>0.13</v>
      </c>
      <c r="I30" t="str">
        <f>utility!S14 &amp; " ("&amp;TEXT(utility!T14,"0.00")&amp;")"</f>
        <v>5 (4.50)</v>
      </c>
    </row>
    <row r="31" spans="1:9">
      <c r="B31" t="str">
        <f>efficacy!L15</f>
        <v>Joint3+3</v>
      </c>
      <c r="C31" s="6">
        <f>utility!M15</f>
        <v>30.61</v>
      </c>
      <c r="D31" s="6">
        <f>utility!N15</f>
        <v>52.3249999999992</v>
      </c>
      <c r="E31" s="6">
        <f>utility!O15</f>
        <v>26.0977777777779</v>
      </c>
      <c r="F31" s="6">
        <f>utility!P15</f>
        <v>60.834999999998701</v>
      </c>
      <c r="G31" s="6">
        <f>utility!Q15</f>
        <v>2.6484722222222299</v>
      </c>
      <c r="H31" s="6">
        <f>utility!R15</f>
        <v>0.15</v>
      </c>
      <c r="I31" t="str">
        <f>utility!S15 &amp; " ("&amp;TEXT(utility!T15,"0.00")&amp;")"</f>
        <v>3 (3.50)</v>
      </c>
    </row>
    <row r="32" spans="1:9">
      <c r="B32" t="str">
        <f>efficacy!L16</f>
        <v>STEIN</v>
      </c>
      <c r="C32" s="6">
        <f>utility!M16</f>
        <v>28.534999999999801</v>
      </c>
      <c r="D32" s="6">
        <f>utility!N16</f>
        <v>48.054999999999197</v>
      </c>
      <c r="E32" s="6">
        <f>utility!O16</f>
        <v>23.577361111111198</v>
      </c>
      <c r="F32" s="6">
        <f>utility!P16</f>
        <v>63.069999999998601</v>
      </c>
      <c r="G32" s="8">
        <f>utility!Q16</f>
        <v>0.63097222222222005</v>
      </c>
      <c r="H32" s="8">
        <f>utility!R16</f>
        <v>0.125</v>
      </c>
      <c r="I32" t="str">
        <f>utility!S16 &amp; " ("&amp;TEXT(utility!T16,"0.00")&amp;")"</f>
        <v>5 (4.50)</v>
      </c>
    </row>
    <row r="33" spans="2:9">
      <c r="B33" t="str">
        <f>efficacy!L17</f>
        <v>PRINTE</v>
      </c>
      <c r="C33" s="6">
        <f>utility!M17</f>
        <v>29.944999999999901</v>
      </c>
      <c r="D33" s="6">
        <f>utility!N17</f>
        <v>50.484999999999197</v>
      </c>
      <c r="E33" s="6">
        <f>utility!O17</f>
        <v>24.234305555555601</v>
      </c>
      <c r="F33" s="6">
        <f>utility!P17</f>
        <v>63.029999999998502</v>
      </c>
      <c r="G33" s="6">
        <f>utility!Q17</f>
        <v>1.09402777777778</v>
      </c>
      <c r="H33" s="6">
        <f>utility!R17</f>
        <v>0.14000000000000001</v>
      </c>
      <c r="I33" t="str">
        <f>utility!S17 &amp; " ("&amp;TEXT(utility!T17,"0.00")&amp;")"</f>
        <v>4 (4.17)</v>
      </c>
    </row>
    <row r="34" spans="2:9">
      <c r="B34" t="str">
        <f>efficacy!L18</f>
        <v>TEPI</v>
      </c>
      <c r="C34" s="6">
        <f>utility!M18</f>
        <v>30.035000000000199</v>
      </c>
      <c r="D34" s="6">
        <f>utility!N18</f>
        <v>55.909999999999002</v>
      </c>
      <c r="E34" s="8">
        <f>utility!O18</f>
        <v>18.685972222222201</v>
      </c>
      <c r="F34" s="6">
        <f>utility!P18</f>
        <v>66.404999999998395</v>
      </c>
      <c r="G34" s="6">
        <f>utility!Q18</f>
        <v>4.4872222222222504</v>
      </c>
      <c r="H34" s="6">
        <f>utility!R18</f>
        <v>0.35499999999999998</v>
      </c>
      <c r="I34" t="str">
        <f>utility!S18 &amp; " ("&amp;TEXT(utility!T18,"0.00")&amp;")"</f>
        <v>7 (5.50)</v>
      </c>
    </row>
    <row r="35" spans="2:9">
      <c r="B35" t="str">
        <f>efficacy!L19</f>
        <v>BOIN12</v>
      </c>
      <c r="C35" s="8">
        <f>utility!M19</f>
        <v>32.259999999999899</v>
      </c>
      <c r="D35" s="8">
        <f>utility!N19</f>
        <v>57.174999999998803</v>
      </c>
      <c r="E35" s="6">
        <f>utility!O19</f>
        <v>24.956666666666901</v>
      </c>
      <c r="F35" s="8">
        <f>utility!P19</f>
        <v>50.034999999999101</v>
      </c>
      <c r="G35" s="6">
        <f>utility!Q19</f>
        <v>1.4272222222222199</v>
      </c>
      <c r="H35" s="6">
        <f>utility!R19</f>
        <v>0.36</v>
      </c>
      <c r="I35" t="str">
        <f>utility!S19 &amp; " ("&amp;TEXT(utility!T19,"0.00")&amp;")"</f>
        <v>1 (2.83)</v>
      </c>
    </row>
  </sheetData>
  <mergeCells count="2">
    <mergeCell ref="A3:I3"/>
    <mergeCell ref="A20:I20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2BB6A-256C-4F50-9FF6-B87408ABB472}">
  <sheetPr codeName="Sheet1"/>
  <dimension ref="A1:Z20"/>
  <sheetViews>
    <sheetView topLeftCell="F1" workbookViewId="0">
      <selection activeCell="S6" sqref="S6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2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18</v>
      </c>
      <c r="B5" t="s">
        <v>11</v>
      </c>
      <c r="C5" s="3">
        <v>27.1090000000003</v>
      </c>
      <c r="D5" s="3">
        <v>44.391000000000098</v>
      </c>
      <c r="E5" s="3">
        <v>21.893388888888602</v>
      </c>
      <c r="F5" s="3">
        <v>60.040000000000298</v>
      </c>
      <c r="G5" s="3">
        <v>2.26677777777779</v>
      </c>
      <c r="H5" s="3">
        <v>1.127</v>
      </c>
      <c r="J5" t="str">
        <f>IF(_xlfn.RANK.AVG(M5,$M$5:$M$12)=1,1,"")</f>
        <v/>
      </c>
      <c r="K5" s="7">
        <v>54</v>
      </c>
      <c r="L5" t="s">
        <v>24</v>
      </c>
      <c r="M5" s="6">
        <f t="shared" ref="M5:R11" si="0">C5</f>
        <v>27.1090000000003</v>
      </c>
      <c r="N5" s="6">
        <f t="shared" si="0"/>
        <v>44.391000000000098</v>
      </c>
      <c r="O5" s="6">
        <f t="shared" si="0"/>
        <v>21.893388888888602</v>
      </c>
      <c r="P5" s="6">
        <f t="shared" si="0"/>
        <v>60.040000000000298</v>
      </c>
      <c r="Q5" s="6">
        <f t="shared" si="0"/>
        <v>2.26677777777779</v>
      </c>
      <c r="R5" s="6">
        <f t="shared" si="0"/>
        <v>1.127</v>
      </c>
      <c r="S5" s="7">
        <f>_xlfn.RANK.AVG(T5,$T$5:$T$11,1)</f>
        <v>3</v>
      </c>
      <c r="T5">
        <f>AVERAGE(U5:Z5)</f>
        <v>3.5</v>
      </c>
      <c r="U5">
        <f>(_xlfn.RANK.AVG(M5,M$5:M$11))</f>
        <v>3</v>
      </c>
      <c r="V5">
        <f t="shared" ref="V5:W11" si="1">(_xlfn.RANK.AVG(N5,N$5:N$11))</f>
        <v>5</v>
      </c>
      <c r="W5">
        <f t="shared" si="1"/>
        <v>2</v>
      </c>
      <c r="X5">
        <f>(_xlfn.RANK.AVG(P5,P$5:P$11,1))</f>
        <v>4</v>
      </c>
      <c r="Y5">
        <f>(_xlfn.RANK.AVG(Q5,Q$5:Q$11,1))</f>
        <v>3</v>
      </c>
      <c r="Z5">
        <f>(_xlfn.RANK.AVG(R5,R$5:R$11,1))</f>
        <v>4</v>
      </c>
    </row>
    <row r="6" spans="1:26">
      <c r="B6" t="s">
        <v>12</v>
      </c>
      <c r="C6" s="3">
        <v>27.0130000000004</v>
      </c>
      <c r="D6" s="3">
        <v>44.561999999999998</v>
      </c>
      <c r="E6" s="3">
        <v>21.8933333333331</v>
      </c>
      <c r="F6" s="3">
        <v>60.947999999999901</v>
      </c>
      <c r="G6" s="3">
        <v>2.5296111111111301</v>
      </c>
      <c r="H6" s="3">
        <v>1.0780000000000001</v>
      </c>
      <c r="J6" t="str">
        <f t="shared" ref="J6" si="2">IF(_xlfn.RANK.AVG(M6,$M$5:$M$12)=1,1,"")</f>
        <v/>
      </c>
      <c r="K6" s="4"/>
      <c r="L6" t="s">
        <v>25</v>
      </c>
      <c r="M6" s="6">
        <f t="shared" si="0"/>
        <v>27.0130000000004</v>
      </c>
      <c r="N6" s="6">
        <f t="shared" si="0"/>
        <v>44.561999999999998</v>
      </c>
      <c r="O6" s="6">
        <f t="shared" si="0"/>
        <v>21.8933333333331</v>
      </c>
      <c r="P6" s="6">
        <f t="shared" si="0"/>
        <v>60.947999999999901</v>
      </c>
      <c r="Q6" s="6">
        <f t="shared" si="0"/>
        <v>2.5296111111111301</v>
      </c>
      <c r="R6" s="6">
        <f t="shared" si="0"/>
        <v>1.0780000000000001</v>
      </c>
      <c r="S6" s="7">
        <f t="shared" ref="S6:S11" si="3">_xlfn.RANK.AVG(T6,$T$5:$T$11,1)</f>
        <v>4</v>
      </c>
      <c r="T6">
        <f t="shared" ref="T6:T19" si="4">AVERAGE(U6:Z6)</f>
        <v>3.8333333333333335</v>
      </c>
      <c r="U6">
        <f t="shared" ref="U6:U11" si="5">(_xlfn.RANK.AVG(M6,M$5:M$11))</f>
        <v>4</v>
      </c>
      <c r="V6">
        <f t="shared" si="1"/>
        <v>4</v>
      </c>
      <c r="W6">
        <f t="shared" si="1"/>
        <v>3</v>
      </c>
      <c r="X6">
        <f t="shared" ref="X6:Z11" si="6">(_xlfn.RANK.AVG(P6,P$5:P$11,1))</f>
        <v>5</v>
      </c>
      <c r="Y6">
        <f t="shared" si="6"/>
        <v>4</v>
      </c>
      <c r="Z6">
        <f t="shared" si="6"/>
        <v>3</v>
      </c>
    </row>
    <row r="7" spans="1:26">
      <c r="B7" t="s">
        <v>15</v>
      </c>
      <c r="C7" s="3">
        <v>27.750000000000501</v>
      </c>
      <c r="D7" s="3">
        <v>46.343000000000004</v>
      </c>
      <c r="E7" s="3">
        <v>22.046888888888599</v>
      </c>
      <c r="F7" s="3">
        <v>59.177999999999301</v>
      </c>
      <c r="G7" s="3">
        <v>3.34405555555559</v>
      </c>
      <c r="H7" s="3">
        <v>1.282</v>
      </c>
      <c r="K7" s="4"/>
      <c r="L7" t="s">
        <v>26</v>
      </c>
      <c r="M7" s="8">
        <f t="shared" si="0"/>
        <v>27.750000000000501</v>
      </c>
      <c r="N7" s="6">
        <f t="shared" si="0"/>
        <v>46.343000000000004</v>
      </c>
      <c r="O7" s="8">
        <f t="shared" si="0"/>
        <v>22.046888888888599</v>
      </c>
      <c r="P7" s="6">
        <f t="shared" si="0"/>
        <v>59.177999999999301</v>
      </c>
      <c r="Q7" s="6">
        <f t="shared" si="0"/>
        <v>3.34405555555559</v>
      </c>
      <c r="R7" s="6">
        <f t="shared" si="0"/>
        <v>1.282</v>
      </c>
      <c r="S7" s="7">
        <f t="shared" si="3"/>
        <v>2</v>
      </c>
      <c r="T7">
        <f t="shared" si="4"/>
        <v>3.3333333333333335</v>
      </c>
      <c r="U7">
        <f t="shared" si="5"/>
        <v>2</v>
      </c>
      <c r="V7">
        <f t="shared" si="1"/>
        <v>3</v>
      </c>
      <c r="W7">
        <f t="shared" si="1"/>
        <v>1</v>
      </c>
      <c r="X7">
        <f t="shared" si="6"/>
        <v>3</v>
      </c>
      <c r="Y7">
        <f t="shared" si="6"/>
        <v>6</v>
      </c>
      <c r="Z7">
        <f t="shared" si="6"/>
        <v>5</v>
      </c>
    </row>
    <row r="8" spans="1:26">
      <c r="B8" t="s">
        <v>17</v>
      </c>
      <c r="C8" s="3">
        <v>24.8960000000001</v>
      </c>
      <c r="D8" s="3">
        <v>39.330000000000297</v>
      </c>
      <c r="E8" s="3">
        <v>19.942277777777601</v>
      </c>
      <c r="F8" s="3">
        <v>63.984000000003199</v>
      </c>
      <c r="G8" s="3">
        <v>0.74461111111111</v>
      </c>
      <c r="H8" s="3">
        <v>0.65600000000000003</v>
      </c>
      <c r="K8" s="4"/>
      <c r="L8" t="s">
        <v>27</v>
      </c>
      <c r="M8" s="6">
        <f t="shared" si="0"/>
        <v>24.8960000000001</v>
      </c>
      <c r="N8" s="6">
        <f t="shared" si="0"/>
        <v>39.330000000000297</v>
      </c>
      <c r="O8" s="6">
        <f t="shared" si="0"/>
        <v>19.942277777777601</v>
      </c>
      <c r="P8" s="6">
        <f t="shared" si="0"/>
        <v>63.984000000003199</v>
      </c>
      <c r="Q8" s="8">
        <f t="shared" si="0"/>
        <v>0.74461111111111</v>
      </c>
      <c r="R8" s="8">
        <f t="shared" si="0"/>
        <v>0.65600000000000003</v>
      </c>
      <c r="S8" s="7">
        <f t="shared" si="3"/>
        <v>6</v>
      </c>
      <c r="T8">
        <f t="shared" si="4"/>
        <v>4.833333333333333</v>
      </c>
      <c r="U8">
        <f t="shared" si="5"/>
        <v>7</v>
      </c>
      <c r="V8">
        <f t="shared" si="1"/>
        <v>7</v>
      </c>
      <c r="W8">
        <f t="shared" si="1"/>
        <v>6</v>
      </c>
      <c r="X8">
        <f t="shared" si="6"/>
        <v>7</v>
      </c>
      <c r="Y8">
        <f t="shared" si="6"/>
        <v>1</v>
      </c>
      <c r="Z8">
        <f t="shared" si="6"/>
        <v>1</v>
      </c>
    </row>
    <row r="9" spans="1:26">
      <c r="B9" t="s">
        <v>16</v>
      </c>
      <c r="C9" s="3">
        <v>25.822000000000301</v>
      </c>
      <c r="D9" s="3">
        <v>42.2100000000001</v>
      </c>
      <c r="E9" s="3">
        <v>20.3869444444442</v>
      </c>
      <c r="F9" s="3">
        <v>62.530000000002097</v>
      </c>
      <c r="G9" s="3">
        <v>1.1706111111111099</v>
      </c>
      <c r="H9" s="3">
        <v>0.90100000000000002</v>
      </c>
      <c r="K9" s="4"/>
      <c r="L9" t="s">
        <v>28</v>
      </c>
      <c r="M9" s="6">
        <f t="shared" si="0"/>
        <v>25.822000000000301</v>
      </c>
      <c r="N9" s="6">
        <f t="shared" si="0"/>
        <v>42.2100000000001</v>
      </c>
      <c r="O9" s="6">
        <f t="shared" si="0"/>
        <v>20.3869444444442</v>
      </c>
      <c r="P9" s="6">
        <f t="shared" si="0"/>
        <v>62.530000000002097</v>
      </c>
      <c r="Q9" s="6">
        <f t="shared" si="0"/>
        <v>1.1706111111111099</v>
      </c>
      <c r="R9" s="6">
        <f t="shared" si="0"/>
        <v>0.90100000000000002</v>
      </c>
      <c r="S9" s="7">
        <f t="shared" si="3"/>
        <v>5</v>
      </c>
      <c r="T9">
        <f t="shared" si="4"/>
        <v>4.5</v>
      </c>
      <c r="U9">
        <f t="shared" si="5"/>
        <v>6</v>
      </c>
      <c r="V9">
        <f t="shared" si="1"/>
        <v>6</v>
      </c>
      <c r="W9">
        <f t="shared" si="1"/>
        <v>5</v>
      </c>
      <c r="X9">
        <f t="shared" si="6"/>
        <v>6</v>
      </c>
      <c r="Y9">
        <f t="shared" si="6"/>
        <v>2</v>
      </c>
      <c r="Z9">
        <f t="shared" si="6"/>
        <v>2</v>
      </c>
    </row>
    <row r="10" spans="1:26">
      <c r="B10" t="s">
        <v>13</v>
      </c>
      <c r="C10" s="3">
        <v>26.009000000001301</v>
      </c>
      <c r="D10" s="3">
        <v>50.924999999998597</v>
      </c>
      <c r="E10" s="3">
        <v>15.5365</v>
      </c>
      <c r="F10" s="3">
        <v>56.888999999998397</v>
      </c>
      <c r="G10" s="3">
        <v>4.3541111111111999</v>
      </c>
      <c r="H10" s="3">
        <v>1.627</v>
      </c>
      <c r="K10" s="4"/>
      <c r="L10" t="s">
        <v>29</v>
      </c>
      <c r="M10" s="6">
        <f t="shared" si="0"/>
        <v>26.009000000001301</v>
      </c>
      <c r="N10" s="6">
        <f t="shared" si="0"/>
        <v>50.924999999998597</v>
      </c>
      <c r="O10" s="6">
        <f t="shared" si="0"/>
        <v>15.5365</v>
      </c>
      <c r="P10" s="6">
        <f t="shared" si="0"/>
        <v>56.888999999998397</v>
      </c>
      <c r="Q10" s="6">
        <f t="shared" si="0"/>
        <v>4.3541111111111999</v>
      </c>
      <c r="R10" s="6">
        <f t="shared" si="0"/>
        <v>1.627</v>
      </c>
      <c r="S10" s="7">
        <f t="shared" si="3"/>
        <v>7</v>
      </c>
      <c r="T10">
        <f t="shared" si="4"/>
        <v>5</v>
      </c>
      <c r="U10">
        <f t="shared" si="5"/>
        <v>5</v>
      </c>
      <c r="V10">
        <f t="shared" si="1"/>
        <v>2</v>
      </c>
      <c r="W10">
        <f t="shared" si="1"/>
        <v>7</v>
      </c>
      <c r="X10">
        <f t="shared" si="6"/>
        <v>2</v>
      </c>
      <c r="Y10">
        <f t="shared" si="6"/>
        <v>7</v>
      </c>
      <c r="Z10">
        <f t="shared" si="6"/>
        <v>7</v>
      </c>
    </row>
    <row r="11" spans="1:26">
      <c r="B11" t="s">
        <v>14</v>
      </c>
      <c r="C11" s="3">
        <v>28.0340000000012</v>
      </c>
      <c r="D11" s="3">
        <v>52.160999999999298</v>
      </c>
      <c r="E11" s="3">
        <v>21.224722222221899</v>
      </c>
      <c r="F11" s="3">
        <v>43.089000000000098</v>
      </c>
      <c r="G11" s="3">
        <v>3.09061111111117</v>
      </c>
      <c r="H11" s="3">
        <v>1.6180000000000001</v>
      </c>
      <c r="L11" t="s">
        <v>30</v>
      </c>
      <c r="M11" s="6">
        <f t="shared" si="0"/>
        <v>28.0340000000012</v>
      </c>
      <c r="N11" s="8">
        <f t="shared" si="0"/>
        <v>52.160999999999298</v>
      </c>
      <c r="O11" s="6">
        <f t="shared" si="0"/>
        <v>21.224722222221899</v>
      </c>
      <c r="P11" s="8">
        <f t="shared" si="0"/>
        <v>43.089000000000098</v>
      </c>
      <c r="Q11" s="6">
        <f t="shared" si="0"/>
        <v>3.09061111111117</v>
      </c>
      <c r="R11" s="6">
        <f t="shared" si="0"/>
        <v>1.6180000000000001</v>
      </c>
      <c r="S11" s="7">
        <f t="shared" si="3"/>
        <v>1</v>
      </c>
      <c r="T11">
        <f t="shared" si="4"/>
        <v>3</v>
      </c>
      <c r="U11">
        <f t="shared" si="5"/>
        <v>1</v>
      </c>
      <c r="V11">
        <f t="shared" si="1"/>
        <v>1</v>
      </c>
      <c r="W11">
        <f t="shared" si="1"/>
        <v>4</v>
      </c>
      <c r="X11">
        <f t="shared" si="6"/>
        <v>1</v>
      </c>
      <c r="Y11">
        <f t="shared" si="6"/>
        <v>5</v>
      </c>
      <c r="Z11">
        <f t="shared" si="6"/>
        <v>6</v>
      </c>
    </row>
    <row r="12" spans="1:26">
      <c r="A12">
        <v>36</v>
      </c>
      <c r="B12" t="s">
        <v>11</v>
      </c>
      <c r="C12" s="3">
        <v>28.975000000000001</v>
      </c>
      <c r="D12" s="3">
        <v>47.959999999999198</v>
      </c>
      <c r="E12" s="3">
        <v>24.894166666666798</v>
      </c>
      <c r="F12" s="3">
        <v>63.424999999998597</v>
      </c>
      <c r="G12" s="3">
        <v>1.7333333333333301</v>
      </c>
      <c r="H12" s="3">
        <v>0.44</v>
      </c>
      <c r="M12" s="5"/>
      <c r="N12" s="5"/>
      <c r="O12" s="5"/>
      <c r="P12" s="5"/>
      <c r="Q12" s="5"/>
      <c r="R12" s="5"/>
      <c r="S12" s="7"/>
    </row>
    <row r="13" spans="1:26">
      <c r="B13" t="s">
        <v>12</v>
      </c>
      <c r="C13" s="3">
        <v>29.44</v>
      </c>
      <c r="D13" s="3">
        <v>48.354999999999301</v>
      </c>
      <c r="E13" s="3">
        <v>25.155416666666799</v>
      </c>
      <c r="F13" s="3">
        <v>62.864999999998602</v>
      </c>
      <c r="G13" s="3">
        <v>1.97611111111111</v>
      </c>
      <c r="H13" s="3">
        <v>0.48499999999999999</v>
      </c>
      <c r="K13">
        <v>108</v>
      </c>
      <c r="L13" t="s">
        <v>24</v>
      </c>
      <c r="M13" s="6">
        <f t="shared" ref="M13:R19" si="7">C12</f>
        <v>28.975000000000001</v>
      </c>
      <c r="N13" s="6">
        <f t="shared" si="7"/>
        <v>47.959999999999198</v>
      </c>
      <c r="O13" s="6">
        <f t="shared" si="7"/>
        <v>24.894166666666798</v>
      </c>
      <c r="P13" s="6">
        <f t="shared" si="7"/>
        <v>63.424999999998597</v>
      </c>
      <c r="Q13" s="6">
        <f t="shared" si="7"/>
        <v>1.7333333333333301</v>
      </c>
      <c r="R13" s="6">
        <f t="shared" si="7"/>
        <v>0.44</v>
      </c>
      <c r="S13" s="7">
        <f>_xlfn.RANK.EQ(T13,$T$13:$T$19,1)</f>
        <v>4</v>
      </c>
      <c r="T13">
        <f>AVERAGE(U13:Z13)</f>
        <v>4</v>
      </c>
      <c r="U13">
        <f>(_xlfn.RANK.AVG(M13,M$13:M$19))</f>
        <v>6</v>
      </c>
      <c r="V13">
        <f t="shared" ref="V13:W19" si="8">(_xlfn.RANK.AVG(N13,N$13:N$19))</f>
        <v>5</v>
      </c>
      <c r="W13">
        <f t="shared" si="8"/>
        <v>3</v>
      </c>
      <c r="X13">
        <f>(_xlfn.RANK.AVG(P13,P$13:P$19,1))</f>
        <v>5</v>
      </c>
      <c r="Y13">
        <f>(_xlfn.RANK.AVG(Q13,Q$13:Q$19,1))</f>
        <v>3</v>
      </c>
      <c r="Z13">
        <f>(_xlfn.RANK.AVG(R13,R$13:R$19,1))</f>
        <v>2</v>
      </c>
    </row>
    <row r="14" spans="1:26">
      <c r="B14" t="s">
        <v>15</v>
      </c>
      <c r="C14" s="3">
        <v>29.815000000000001</v>
      </c>
      <c r="D14" s="3">
        <v>50.224999999999199</v>
      </c>
      <c r="E14" s="3">
        <v>25.390277777777801</v>
      </c>
      <c r="F14" s="3">
        <v>60.984999999998699</v>
      </c>
      <c r="G14" s="3">
        <v>2.9884722222222302</v>
      </c>
      <c r="H14" s="3">
        <v>0.49</v>
      </c>
      <c r="L14" t="s">
        <v>25</v>
      </c>
      <c r="M14" s="6">
        <f t="shared" si="7"/>
        <v>29.44</v>
      </c>
      <c r="N14" s="6">
        <f t="shared" si="7"/>
        <v>48.354999999999301</v>
      </c>
      <c r="O14" s="6">
        <f t="shared" si="7"/>
        <v>25.155416666666799</v>
      </c>
      <c r="P14" s="6">
        <f t="shared" si="7"/>
        <v>62.864999999998602</v>
      </c>
      <c r="Q14" s="6">
        <f t="shared" si="7"/>
        <v>1.97611111111111</v>
      </c>
      <c r="R14" s="6">
        <f t="shared" si="7"/>
        <v>0.48499999999999999</v>
      </c>
      <c r="S14" s="7">
        <f t="shared" ref="S14:S19" si="9">_xlfn.RANK.EQ(T14,$T$13:$T$19,1)</f>
        <v>3</v>
      </c>
      <c r="T14">
        <f>AVERAGE(U14:Z14)</f>
        <v>3.3333333333333335</v>
      </c>
      <c r="U14">
        <f t="shared" ref="U14:U19" si="10">(_xlfn.RANK.AVG(M14,M$13:M$19))</f>
        <v>4</v>
      </c>
      <c r="V14">
        <f t="shared" si="8"/>
        <v>4</v>
      </c>
      <c r="W14">
        <f t="shared" si="8"/>
        <v>2</v>
      </c>
      <c r="X14">
        <f t="shared" ref="X14:Z19" si="11">(_xlfn.RANK.AVG(P14,P$13:P$19,1))</f>
        <v>3</v>
      </c>
      <c r="Y14">
        <f t="shared" si="11"/>
        <v>4</v>
      </c>
      <c r="Z14">
        <f t="shared" si="11"/>
        <v>3</v>
      </c>
    </row>
    <row r="15" spans="1:26">
      <c r="B15" t="s">
        <v>17</v>
      </c>
      <c r="C15" s="3">
        <v>27.724999999999898</v>
      </c>
      <c r="D15" s="3">
        <v>43.9099999999993</v>
      </c>
      <c r="E15" s="3">
        <v>23.026944444444499</v>
      </c>
      <c r="F15" s="3">
        <v>63.779999999998502</v>
      </c>
      <c r="G15" s="3">
        <v>0.61194444444444396</v>
      </c>
      <c r="H15" s="3">
        <v>0.37</v>
      </c>
      <c r="L15" t="s">
        <v>26</v>
      </c>
      <c r="M15" s="6">
        <f t="shared" si="7"/>
        <v>29.815000000000001</v>
      </c>
      <c r="N15" s="6">
        <f t="shared" si="7"/>
        <v>50.224999999999199</v>
      </c>
      <c r="O15" s="8">
        <f t="shared" si="7"/>
        <v>25.390277777777801</v>
      </c>
      <c r="P15" s="6">
        <f t="shared" si="7"/>
        <v>60.984999999998699</v>
      </c>
      <c r="Q15" s="6">
        <f t="shared" si="7"/>
        <v>2.9884722222222302</v>
      </c>
      <c r="R15" s="6">
        <f t="shared" si="7"/>
        <v>0.49</v>
      </c>
      <c r="S15" s="7">
        <f t="shared" si="9"/>
        <v>1</v>
      </c>
      <c r="T15">
        <f t="shared" si="4"/>
        <v>3.1666666666666665</v>
      </c>
      <c r="U15">
        <f t="shared" si="10"/>
        <v>3</v>
      </c>
      <c r="V15">
        <f t="shared" si="8"/>
        <v>3</v>
      </c>
      <c r="W15">
        <f t="shared" si="8"/>
        <v>1</v>
      </c>
      <c r="X15">
        <f t="shared" si="11"/>
        <v>2</v>
      </c>
      <c r="Y15">
        <f t="shared" si="11"/>
        <v>6</v>
      </c>
      <c r="Z15">
        <f t="shared" si="11"/>
        <v>4</v>
      </c>
    </row>
    <row r="16" spans="1:26">
      <c r="B16" t="s">
        <v>16</v>
      </c>
      <c r="C16" s="3">
        <v>29.065000000000001</v>
      </c>
      <c r="D16" s="3">
        <v>47.334999999999297</v>
      </c>
      <c r="E16" s="3">
        <v>23.925555555555601</v>
      </c>
      <c r="F16" s="3">
        <v>63.319999999998501</v>
      </c>
      <c r="G16" s="3">
        <v>1.21444444444444</v>
      </c>
      <c r="H16" s="3">
        <v>0.495</v>
      </c>
      <c r="L16" t="s">
        <v>27</v>
      </c>
      <c r="M16" s="6">
        <f t="shared" si="7"/>
        <v>27.724999999999898</v>
      </c>
      <c r="N16" s="6">
        <f t="shared" si="7"/>
        <v>43.9099999999993</v>
      </c>
      <c r="O16" s="6">
        <f t="shared" si="7"/>
        <v>23.026944444444499</v>
      </c>
      <c r="P16" s="6">
        <f t="shared" si="7"/>
        <v>63.779999999998502</v>
      </c>
      <c r="Q16" s="8">
        <f t="shared" si="7"/>
        <v>0.61194444444444396</v>
      </c>
      <c r="R16" s="8">
        <f t="shared" si="7"/>
        <v>0.37</v>
      </c>
      <c r="S16" s="7">
        <f t="shared" si="9"/>
        <v>6</v>
      </c>
      <c r="T16">
        <f t="shared" si="4"/>
        <v>4.666666666666667</v>
      </c>
      <c r="U16">
        <f t="shared" si="10"/>
        <v>7</v>
      </c>
      <c r="V16">
        <f t="shared" si="8"/>
        <v>7</v>
      </c>
      <c r="W16">
        <f t="shared" si="8"/>
        <v>6</v>
      </c>
      <c r="X16">
        <f t="shared" si="11"/>
        <v>6</v>
      </c>
      <c r="Y16">
        <f t="shared" si="11"/>
        <v>1</v>
      </c>
      <c r="Z16">
        <f t="shared" si="11"/>
        <v>1</v>
      </c>
    </row>
    <row r="17" spans="1:26">
      <c r="B17" t="s">
        <v>13</v>
      </c>
      <c r="C17" s="3">
        <v>30.070000000000299</v>
      </c>
      <c r="D17" s="3">
        <v>57.299999999998903</v>
      </c>
      <c r="E17" s="3">
        <v>19.6695833333333</v>
      </c>
      <c r="F17" s="3">
        <v>64.514999999998494</v>
      </c>
      <c r="G17" s="3">
        <v>4.6733333333333702</v>
      </c>
      <c r="H17" s="3">
        <v>0.65</v>
      </c>
      <c r="L17" t="s">
        <v>28</v>
      </c>
      <c r="M17" s="6">
        <f t="shared" si="7"/>
        <v>29.065000000000001</v>
      </c>
      <c r="N17" s="6">
        <f t="shared" si="7"/>
        <v>47.334999999999297</v>
      </c>
      <c r="O17" s="6">
        <f t="shared" si="7"/>
        <v>23.925555555555601</v>
      </c>
      <c r="P17" s="6">
        <f t="shared" si="7"/>
        <v>63.319999999998501</v>
      </c>
      <c r="Q17" s="6">
        <f t="shared" si="7"/>
        <v>1.21444444444444</v>
      </c>
      <c r="R17" s="6">
        <f t="shared" si="7"/>
        <v>0.495</v>
      </c>
      <c r="S17" s="7">
        <f t="shared" si="9"/>
        <v>5</v>
      </c>
      <c r="T17">
        <f t="shared" si="4"/>
        <v>4.5</v>
      </c>
      <c r="U17">
        <f t="shared" si="10"/>
        <v>5</v>
      </c>
      <c r="V17">
        <f t="shared" si="8"/>
        <v>6</v>
      </c>
      <c r="W17">
        <f t="shared" si="8"/>
        <v>5</v>
      </c>
      <c r="X17">
        <f t="shared" si="11"/>
        <v>4</v>
      </c>
      <c r="Y17">
        <f t="shared" si="11"/>
        <v>2</v>
      </c>
      <c r="Z17">
        <f t="shared" si="11"/>
        <v>5</v>
      </c>
    </row>
    <row r="18" spans="1:26">
      <c r="B18" t="s">
        <v>14</v>
      </c>
      <c r="C18" s="3">
        <v>31.420000000000201</v>
      </c>
      <c r="D18" s="3">
        <v>57.454999999998797</v>
      </c>
      <c r="E18" s="3">
        <v>24.6533333333334</v>
      </c>
      <c r="F18" s="3">
        <v>47.459999999999397</v>
      </c>
      <c r="G18" s="3">
        <v>2.2013888888888999</v>
      </c>
      <c r="H18" s="3">
        <v>0.95</v>
      </c>
      <c r="L18" t="s">
        <v>29</v>
      </c>
      <c r="M18" s="6">
        <f t="shared" si="7"/>
        <v>30.070000000000299</v>
      </c>
      <c r="N18" s="6">
        <f t="shared" si="7"/>
        <v>57.299999999998903</v>
      </c>
      <c r="O18" s="6">
        <f t="shared" si="7"/>
        <v>19.6695833333333</v>
      </c>
      <c r="P18" s="6">
        <f t="shared" si="7"/>
        <v>64.514999999998494</v>
      </c>
      <c r="Q18" s="6">
        <f t="shared" si="7"/>
        <v>4.6733333333333702</v>
      </c>
      <c r="R18" s="6">
        <f t="shared" si="7"/>
        <v>0.65</v>
      </c>
      <c r="S18" s="7">
        <f t="shared" si="9"/>
        <v>7</v>
      </c>
      <c r="T18">
        <f t="shared" si="4"/>
        <v>5.166666666666667</v>
      </c>
      <c r="U18">
        <f t="shared" si="10"/>
        <v>2</v>
      </c>
      <c r="V18">
        <f t="shared" si="8"/>
        <v>2</v>
      </c>
      <c r="W18">
        <f t="shared" si="8"/>
        <v>7</v>
      </c>
      <c r="X18">
        <f t="shared" si="11"/>
        <v>7</v>
      </c>
      <c r="Y18">
        <f t="shared" si="11"/>
        <v>7</v>
      </c>
      <c r="Z18">
        <f t="shared" si="11"/>
        <v>6</v>
      </c>
    </row>
    <row r="19" spans="1:26">
      <c r="A19" t="s">
        <v>18</v>
      </c>
      <c r="C19" s="3">
        <v>393.14300000000446</v>
      </c>
      <c r="D19" s="3">
        <v>672.46199999999237</v>
      </c>
      <c r="E19" s="3">
        <v>309.63933333333222</v>
      </c>
      <c r="F19" s="3">
        <v>833.00799999999401</v>
      </c>
      <c r="G19" s="3">
        <v>32.899416666666923</v>
      </c>
      <c r="H19" s="3">
        <v>12.168999999999997</v>
      </c>
      <c r="L19" t="s">
        <v>30</v>
      </c>
      <c r="M19" s="8">
        <f t="shared" si="7"/>
        <v>31.420000000000201</v>
      </c>
      <c r="N19" s="8">
        <f t="shared" si="7"/>
        <v>57.454999999998797</v>
      </c>
      <c r="O19" s="6">
        <f t="shared" si="7"/>
        <v>24.6533333333334</v>
      </c>
      <c r="P19" s="8">
        <f t="shared" si="7"/>
        <v>47.459999999999397</v>
      </c>
      <c r="Q19" s="6">
        <f t="shared" si="7"/>
        <v>2.2013888888888999</v>
      </c>
      <c r="R19" s="6">
        <f t="shared" si="7"/>
        <v>0.95</v>
      </c>
      <c r="S19" s="7">
        <f t="shared" si="9"/>
        <v>1</v>
      </c>
      <c r="T19">
        <f t="shared" si="4"/>
        <v>3.1666666666666665</v>
      </c>
      <c r="U19">
        <f t="shared" si="10"/>
        <v>1</v>
      </c>
      <c r="V19">
        <f t="shared" si="8"/>
        <v>1</v>
      </c>
      <c r="W19">
        <f t="shared" si="8"/>
        <v>4</v>
      </c>
      <c r="X19">
        <f t="shared" si="11"/>
        <v>1</v>
      </c>
      <c r="Y19">
        <f t="shared" si="11"/>
        <v>5</v>
      </c>
      <c r="Z19">
        <f t="shared" si="11"/>
        <v>7</v>
      </c>
    </row>
    <row r="20" spans="1:26">
      <c r="M20" s="5"/>
      <c r="N20" s="5"/>
      <c r="O20" s="5"/>
      <c r="P20" s="5"/>
      <c r="Q20" s="5"/>
      <c r="R20" s="5"/>
      <c r="S20" s="7"/>
    </row>
  </sheetData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0"/>
  <sheetViews>
    <sheetView topLeftCell="M1" workbookViewId="0">
      <selection activeCell="T19" sqref="T19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8" width="11.90625" bestFit="1" customWidth="1"/>
    <col min="9" max="10" width="5.6796875" bestFit="1" customWidth="1"/>
    <col min="11" max="11" width="7.26953125" bestFit="1" customWidth="1"/>
    <col min="12" max="12" width="7.54296875" bestFit="1" customWidth="1"/>
    <col min="13" max="14" width="12.04296875" bestFit="1" customWidth="1"/>
    <col min="15" max="15" width="12.31640625" bestFit="1" customWidth="1"/>
    <col min="16" max="16" width="13.04296875" bestFit="1" customWidth="1"/>
    <col min="17" max="17" width="14.81640625" bestFit="1" customWidth="1"/>
    <col min="18" max="18" width="14.81640625" customWidth="1"/>
    <col min="19" max="19" width="10.58984375" bestFit="1" customWidth="1"/>
    <col min="20" max="20" width="10.58984375" customWidth="1"/>
  </cols>
  <sheetData>
    <row r="1" spans="1:26">
      <c r="A1" s="1" t="s">
        <v>2</v>
      </c>
      <c r="B1" s="2">
        <v>1</v>
      </c>
    </row>
    <row r="2" spans="1:26">
      <c r="A2" s="1" t="s">
        <v>1</v>
      </c>
      <c r="B2" s="2">
        <v>1</v>
      </c>
    </row>
    <row r="4" spans="1:26">
      <c r="A4" s="1" t="s">
        <v>0</v>
      </c>
      <c r="B4" s="1" t="s">
        <v>10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38</v>
      </c>
      <c r="K4" t="s">
        <v>31</v>
      </c>
      <c r="L4" t="s">
        <v>32</v>
      </c>
      <c r="M4" t="s">
        <v>33</v>
      </c>
      <c r="N4" t="s">
        <v>34</v>
      </c>
      <c r="O4" t="s">
        <v>35</v>
      </c>
      <c r="P4" t="s">
        <v>36</v>
      </c>
      <c r="Q4" t="s">
        <v>39</v>
      </c>
      <c r="R4" t="s">
        <v>40</v>
      </c>
      <c r="S4" t="s">
        <v>41</v>
      </c>
    </row>
    <row r="5" spans="1:26">
      <c r="A5">
        <v>18</v>
      </c>
      <c r="B5" t="s">
        <v>11</v>
      </c>
      <c r="C5" s="3">
        <v>28.117999999999999</v>
      </c>
      <c r="D5" s="3">
        <v>47.754999999999299</v>
      </c>
      <c r="E5" s="3">
        <v>22.360499999999799</v>
      </c>
      <c r="F5" s="3">
        <v>56.5030000000001</v>
      </c>
      <c r="G5" s="3">
        <v>2.1668888888889</v>
      </c>
      <c r="H5" s="3">
        <v>0.51</v>
      </c>
      <c r="J5" t="str">
        <f>IF(_xlfn.RANK.AVG(M5,$M$5:$M$12)=1,1,"")</f>
        <v/>
      </c>
      <c r="K5" s="7">
        <v>54</v>
      </c>
      <c r="L5" t="s">
        <v>24</v>
      </c>
      <c r="M5" s="6">
        <f t="shared" ref="M5:R11" si="0">C5</f>
        <v>28.117999999999999</v>
      </c>
      <c r="N5" s="6">
        <f t="shared" si="0"/>
        <v>47.754999999999299</v>
      </c>
      <c r="O5" s="6">
        <f t="shared" si="0"/>
        <v>22.360499999999799</v>
      </c>
      <c r="P5" s="6">
        <f t="shared" si="0"/>
        <v>56.5030000000001</v>
      </c>
      <c r="Q5" s="6">
        <f t="shared" si="0"/>
        <v>2.1668888888889</v>
      </c>
      <c r="R5" s="6">
        <f t="shared" si="0"/>
        <v>0.51</v>
      </c>
      <c r="S5" s="7">
        <f>_xlfn.RANK.EQ(T5,$T$5:$T$11,1)</f>
        <v>3</v>
      </c>
      <c r="T5">
        <f>AVERAGE(U5:Z5)</f>
        <v>3.3333333333333335</v>
      </c>
      <c r="U5">
        <f>(_xlfn.RANK.AVG(M5,M$5:M$11))</f>
        <v>2</v>
      </c>
      <c r="V5">
        <f t="shared" ref="V5:W11" si="1">(_xlfn.RANK.AVG(N5,N$5:N$11))</f>
        <v>4</v>
      </c>
      <c r="W5">
        <f t="shared" si="1"/>
        <v>3</v>
      </c>
      <c r="X5">
        <f>(_xlfn.RANK.AVG(P5,P$5:P$11,1))</f>
        <v>2</v>
      </c>
      <c r="Y5">
        <f>(_xlfn.RANK.AVG(Q5,Q$5:Q$11,1))</f>
        <v>4</v>
      </c>
      <c r="Z5">
        <f>(_xlfn.RANK.AVG(R5,R$5:R$11,1))</f>
        <v>5</v>
      </c>
    </row>
    <row r="6" spans="1:26">
      <c r="B6" t="s">
        <v>12</v>
      </c>
      <c r="C6" s="3">
        <v>27.545000000000101</v>
      </c>
      <c r="D6" s="3">
        <v>47.382999999999399</v>
      </c>
      <c r="E6" s="3">
        <v>22.404277777777502</v>
      </c>
      <c r="F6" s="3">
        <v>60.975999999999999</v>
      </c>
      <c r="G6" s="3">
        <v>2.3324444444444601</v>
      </c>
      <c r="H6" s="3">
        <v>0.39200000000000002</v>
      </c>
      <c r="J6" t="str">
        <f t="shared" ref="J6" si="2">IF(_xlfn.RANK.AVG(M6,$M$5:$M$12)=1,1,"")</f>
        <v/>
      </c>
      <c r="K6" s="4"/>
      <c r="L6" t="s">
        <v>25</v>
      </c>
      <c r="M6" s="6">
        <f t="shared" si="0"/>
        <v>27.545000000000101</v>
      </c>
      <c r="N6" s="6">
        <f t="shared" si="0"/>
        <v>47.382999999999399</v>
      </c>
      <c r="O6" s="8">
        <f t="shared" si="0"/>
        <v>22.404277777777502</v>
      </c>
      <c r="P6" s="6">
        <f t="shared" si="0"/>
        <v>60.975999999999999</v>
      </c>
      <c r="Q6" s="6">
        <f t="shared" si="0"/>
        <v>2.3324444444444601</v>
      </c>
      <c r="R6" s="6">
        <f t="shared" si="0"/>
        <v>0.39200000000000002</v>
      </c>
      <c r="S6" s="7">
        <f t="shared" ref="S6:S11" si="3">_xlfn.RANK.EQ(T6,$T$5:$T$11,1)</f>
        <v>4</v>
      </c>
      <c r="T6">
        <f t="shared" ref="T6:T19" si="4">AVERAGE(U6:Z6)</f>
        <v>4</v>
      </c>
      <c r="U6">
        <f t="shared" ref="U6:U11" si="5">(_xlfn.RANK.AVG(M6,M$5:M$11))</f>
        <v>4</v>
      </c>
      <c r="V6">
        <f t="shared" si="1"/>
        <v>5</v>
      </c>
      <c r="W6">
        <f t="shared" si="1"/>
        <v>2</v>
      </c>
      <c r="X6">
        <f t="shared" ref="X6:X11" si="6">(_xlfn.RANK.AVG(P6,P$5:P$11,1))</f>
        <v>5</v>
      </c>
      <c r="Y6">
        <f t="shared" ref="Y6:Y11" si="7">(_xlfn.RANK.AVG(Q6,Q$5:Q$11,1))</f>
        <v>5</v>
      </c>
      <c r="Z6">
        <f t="shared" ref="Z6:Z11" si="8">(_xlfn.RANK.AVG(R6,R$5:R$11,1))</f>
        <v>3</v>
      </c>
    </row>
    <row r="7" spans="1:26">
      <c r="B7" t="s">
        <v>15</v>
      </c>
      <c r="C7" s="3">
        <v>28.542000000000101</v>
      </c>
      <c r="D7" s="3">
        <v>48.8159999999992</v>
      </c>
      <c r="E7" s="3">
        <v>22.6198888888885</v>
      </c>
      <c r="F7" s="3">
        <v>59.060999999999403</v>
      </c>
      <c r="G7" s="3">
        <v>3.1053333333333599</v>
      </c>
      <c r="H7" s="3">
        <v>0.49</v>
      </c>
      <c r="K7" s="4"/>
      <c r="L7" t="s">
        <v>26</v>
      </c>
      <c r="M7" s="8">
        <f t="shared" si="0"/>
        <v>28.542000000000101</v>
      </c>
      <c r="N7" s="6">
        <f t="shared" si="0"/>
        <v>48.8159999999992</v>
      </c>
      <c r="O7" s="6">
        <f t="shared" si="0"/>
        <v>22.6198888888885</v>
      </c>
      <c r="P7" s="6">
        <f t="shared" si="0"/>
        <v>59.060999999999403</v>
      </c>
      <c r="Q7" s="6">
        <f t="shared" si="0"/>
        <v>3.1053333333333599</v>
      </c>
      <c r="R7" s="6">
        <f t="shared" si="0"/>
        <v>0.49</v>
      </c>
      <c r="S7" s="7">
        <f t="shared" si="3"/>
        <v>1</v>
      </c>
      <c r="T7">
        <f t="shared" si="4"/>
        <v>3.1666666666666665</v>
      </c>
      <c r="U7">
        <f t="shared" si="5"/>
        <v>1</v>
      </c>
      <c r="V7">
        <f t="shared" si="1"/>
        <v>3</v>
      </c>
      <c r="W7">
        <f t="shared" si="1"/>
        <v>1</v>
      </c>
      <c r="X7">
        <f t="shared" si="6"/>
        <v>4</v>
      </c>
      <c r="Y7">
        <f t="shared" si="7"/>
        <v>6</v>
      </c>
      <c r="Z7">
        <f t="shared" si="8"/>
        <v>4</v>
      </c>
    </row>
    <row r="8" spans="1:26">
      <c r="B8" t="s">
        <v>17</v>
      </c>
      <c r="C8" s="3">
        <v>25.1789999999998</v>
      </c>
      <c r="D8" s="3">
        <v>42.964999999999598</v>
      </c>
      <c r="E8" s="3">
        <v>20.4200555555554</v>
      </c>
      <c r="F8" s="3">
        <v>63.348000000003402</v>
      </c>
      <c r="G8" s="3">
        <v>0.67683333333333195</v>
      </c>
      <c r="H8" s="3">
        <v>0.24299999999999999</v>
      </c>
      <c r="K8" s="4"/>
      <c r="L8" t="s">
        <v>27</v>
      </c>
      <c r="M8" s="6">
        <f t="shared" si="0"/>
        <v>25.1789999999998</v>
      </c>
      <c r="N8" s="6">
        <f t="shared" si="0"/>
        <v>42.964999999999598</v>
      </c>
      <c r="O8" s="6">
        <f t="shared" si="0"/>
        <v>20.4200555555554</v>
      </c>
      <c r="P8" s="6">
        <f t="shared" si="0"/>
        <v>63.348000000003402</v>
      </c>
      <c r="Q8" s="8">
        <f t="shared" si="0"/>
        <v>0.67683333333333195</v>
      </c>
      <c r="R8" s="8">
        <f t="shared" si="0"/>
        <v>0.24299999999999999</v>
      </c>
      <c r="S8" s="7">
        <f t="shared" si="3"/>
        <v>6</v>
      </c>
      <c r="T8">
        <f t="shared" si="4"/>
        <v>4.833333333333333</v>
      </c>
      <c r="U8">
        <f t="shared" si="5"/>
        <v>7</v>
      </c>
      <c r="V8">
        <f t="shared" si="1"/>
        <v>7</v>
      </c>
      <c r="W8">
        <f t="shared" si="1"/>
        <v>6</v>
      </c>
      <c r="X8">
        <f t="shared" si="6"/>
        <v>7</v>
      </c>
      <c r="Y8">
        <f t="shared" si="7"/>
        <v>1</v>
      </c>
      <c r="Z8">
        <f t="shared" si="8"/>
        <v>1</v>
      </c>
    </row>
    <row r="9" spans="1:26">
      <c r="B9" t="s">
        <v>16</v>
      </c>
      <c r="C9" s="3">
        <v>26.408000000000001</v>
      </c>
      <c r="D9" s="3">
        <v>45.445999999999302</v>
      </c>
      <c r="E9" s="3">
        <v>20.7879444444442</v>
      </c>
      <c r="F9" s="3">
        <v>61.966000000002097</v>
      </c>
      <c r="G9" s="3">
        <v>1.0882777777777799</v>
      </c>
      <c r="H9" s="3">
        <v>0.309</v>
      </c>
      <c r="K9" s="4"/>
      <c r="L9" t="s">
        <v>28</v>
      </c>
      <c r="M9" s="6">
        <f t="shared" si="0"/>
        <v>26.408000000000001</v>
      </c>
      <c r="N9" s="6">
        <f t="shared" si="0"/>
        <v>45.445999999999302</v>
      </c>
      <c r="O9" s="6">
        <f t="shared" si="0"/>
        <v>20.7879444444442</v>
      </c>
      <c r="P9" s="6">
        <f t="shared" si="0"/>
        <v>61.966000000002097</v>
      </c>
      <c r="Q9" s="6">
        <f t="shared" si="0"/>
        <v>1.0882777777777799</v>
      </c>
      <c r="R9" s="6">
        <f t="shared" si="0"/>
        <v>0.309</v>
      </c>
      <c r="S9" s="7">
        <f t="shared" si="3"/>
        <v>5</v>
      </c>
      <c r="T9">
        <f t="shared" si="4"/>
        <v>4.5</v>
      </c>
      <c r="U9">
        <f t="shared" si="5"/>
        <v>6</v>
      </c>
      <c r="V9">
        <f t="shared" si="1"/>
        <v>6</v>
      </c>
      <c r="W9">
        <f t="shared" si="1"/>
        <v>5</v>
      </c>
      <c r="X9">
        <f t="shared" si="6"/>
        <v>6</v>
      </c>
      <c r="Y9">
        <f t="shared" si="7"/>
        <v>2</v>
      </c>
      <c r="Z9">
        <f t="shared" si="8"/>
        <v>2</v>
      </c>
    </row>
    <row r="10" spans="1:26">
      <c r="B10" t="s">
        <v>13</v>
      </c>
      <c r="C10" s="3">
        <v>26.571000000001099</v>
      </c>
      <c r="D10" s="3">
        <v>50.233999999998296</v>
      </c>
      <c r="E10" s="3">
        <v>14.627333333333601</v>
      </c>
      <c r="F10" s="3">
        <v>58.772999999998198</v>
      </c>
      <c r="G10" s="3">
        <v>4.2002222222223002</v>
      </c>
      <c r="H10" s="3">
        <v>0.72000000000000097</v>
      </c>
      <c r="K10" s="4"/>
      <c r="L10" t="s">
        <v>29</v>
      </c>
      <c r="M10" s="6">
        <f t="shared" si="0"/>
        <v>26.571000000001099</v>
      </c>
      <c r="N10" s="6">
        <f t="shared" si="0"/>
        <v>50.233999999998296</v>
      </c>
      <c r="O10" s="6">
        <f t="shared" si="0"/>
        <v>14.627333333333601</v>
      </c>
      <c r="P10" s="6">
        <f t="shared" si="0"/>
        <v>58.772999999998198</v>
      </c>
      <c r="Q10" s="6">
        <f t="shared" si="0"/>
        <v>4.2002222222223002</v>
      </c>
      <c r="R10" s="6">
        <f t="shared" si="0"/>
        <v>0.72000000000000097</v>
      </c>
      <c r="S10" s="7">
        <f t="shared" si="3"/>
        <v>7</v>
      </c>
      <c r="T10">
        <f t="shared" si="4"/>
        <v>5</v>
      </c>
      <c r="U10">
        <f t="shared" si="5"/>
        <v>5</v>
      </c>
      <c r="V10">
        <f t="shared" si="1"/>
        <v>1</v>
      </c>
      <c r="W10">
        <f t="shared" si="1"/>
        <v>7</v>
      </c>
      <c r="X10">
        <f t="shared" si="6"/>
        <v>3</v>
      </c>
      <c r="Y10">
        <f t="shared" si="7"/>
        <v>7</v>
      </c>
      <c r="Z10">
        <f t="shared" si="8"/>
        <v>7</v>
      </c>
    </row>
    <row r="11" spans="1:26">
      <c r="B11" t="s">
        <v>14</v>
      </c>
      <c r="C11" s="3">
        <v>28.0130000000003</v>
      </c>
      <c r="D11" s="3">
        <v>50.030999999999302</v>
      </c>
      <c r="E11" s="3">
        <v>21.499555555555499</v>
      </c>
      <c r="F11" s="3">
        <v>48.7060000000006</v>
      </c>
      <c r="G11" s="3">
        <v>1.9801666666666899</v>
      </c>
      <c r="H11" s="3">
        <v>0.53600000000000003</v>
      </c>
      <c r="L11" t="s">
        <v>30</v>
      </c>
      <c r="M11" s="6">
        <f t="shared" si="0"/>
        <v>28.0130000000003</v>
      </c>
      <c r="N11" s="8">
        <f t="shared" si="0"/>
        <v>50.030999999999302</v>
      </c>
      <c r="O11" s="6">
        <f t="shared" si="0"/>
        <v>21.499555555555499</v>
      </c>
      <c r="P11" s="8">
        <f t="shared" si="0"/>
        <v>48.7060000000006</v>
      </c>
      <c r="Q11" s="6">
        <f t="shared" si="0"/>
        <v>1.9801666666666899</v>
      </c>
      <c r="R11" s="6">
        <f t="shared" si="0"/>
        <v>0.53600000000000003</v>
      </c>
      <c r="S11" s="7">
        <f t="shared" si="3"/>
        <v>1</v>
      </c>
      <c r="T11">
        <f t="shared" si="4"/>
        <v>3.1666666666666665</v>
      </c>
      <c r="U11">
        <f t="shared" si="5"/>
        <v>3</v>
      </c>
      <c r="V11">
        <f t="shared" si="1"/>
        <v>2</v>
      </c>
      <c r="W11">
        <f t="shared" si="1"/>
        <v>4</v>
      </c>
      <c r="X11">
        <f t="shared" si="6"/>
        <v>1</v>
      </c>
      <c r="Y11">
        <f t="shared" si="7"/>
        <v>3</v>
      </c>
      <c r="Z11">
        <f t="shared" si="8"/>
        <v>6</v>
      </c>
    </row>
    <row r="12" spans="1:26">
      <c r="A12">
        <v>36</v>
      </c>
      <c r="B12" t="s">
        <v>11</v>
      </c>
      <c r="C12" s="3">
        <v>30.979999999999901</v>
      </c>
      <c r="D12" s="3">
        <v>52.689999999999102</v>
      </c>
      <c r="E12" s="3">
        <v>25.6912500000001</v>
      </c>
      <c r="F12" s="3">
        <v>59.194999999998799</v>
      </c>
      <c r="G12" s="3">
        <v>1.50430555555555</v>
      </c>
      <c r="H12" s="3">
        <v>0.19</v>
      </c>
      <c r="M12" s="5"/>
      <c r="N12" s="5"/>
      <c r="O12" s="5"/>
      <c r="P12" s="5"/>
      <c r="Q12" s="5"/>
      <c r="R12" s="5"/>
      <c r="S12" s="7"/>
    </row>
    <row r="13" spans="1:26">
      <c r="B13" t="s">
        <v>12</v>
      </c>
      <c r="C13" s="3">
        <v>29.189999999999898</v>
      </c>
      <c r="D13" s="3">
        <v>50.584999999999198</v>
      </c>
      <c r="E13" s="3">
        <v>25.264305555555701</v>
      </c>
      <c r="F13" s="3">
        <v>63.174999999998597</v>
      </c>
      <c r="G13" s="3">
        <v>1.8384722222222301</v>
      </c>
      <c r="H13" s="3">
        <v>0.13</v>
      </c>
      <c r="K13">
        <v>108</v>
      </c>
      <c r="L13" t="s">
        <v>24</v>
      </c>
      <c r="M13" s="6">
        <f t="shared" ref="M13:R19" si="9">C12</f>
        <v>30.979999999999901</v>
      </c>
      <c r="N13" s="6">
        <f t="shared" si="9"/>
        <v>52.689999999999102</v>
      </c>
      <c r="O13" s="6">
        <f t="shared" si="9"/>
        <v>25.6912500000001</v>
      </c>
      <c r="P13" s="6">
        <f t="shared" si="9"/>
        <v>59.194999999998799</v>
      </c>
      <c r="Q13" s="6">
        <f t="shared" si="9"/>
        <v>1.50430555555555</v>
      </c>
      <c r="R13" s="6">
        <f t="shared" si="9"/>
        <v>0.19</v>
      </c>
      <c r="S13" s="7">
        <f t="shared" ref="S13:S19" si="10">_xlfn.RANK.EQ(T13,$T$13:$T$19,1)</f>
        <v>2</v>
      </c>
      <c r="T13">
        <f>AVERAGE(U13:Z13)</f>
        <v>3</v>
      </c>
      <c r="U13">
        <f>(_xlfn.RANK.AVG(M13,M$13:M$19))</f>
        <v>2</v>
      </c>
      <c r="V13">
        <f t="shared" ref="V13:W19" si="11">(_xlfn.RANK.AVG(N13,N$13:N$19))</f>
        <v>3</v>
      </c>
      <c r="W13">
        <f t="shared" si="11"/>
        <v>2</v>
      </c>
      <c r="X13">
        <f>(_xlfn.RANK.AVG(P13,P$13:P$19,1))</f>
        <v>2</v>
      </c>
      <c r="Y13">
        <f>(_xlfn.RANK.AVG(Q13,Q$13:Q$19,1))</f>
        <v>4</v>
      </c>
      <c r="Z13">
        <f>(_xlfn.RANK.AVG(R13,R$13:R$19,1))</f>
        <v>5</v>
      </c>
    </row>
    <row r="14" spans="1:26">
      <c r="B14" t="s">
        <v>15</v>
      </c>
      <c r="C14" s="3">
        <v>30.61</v>
      </c>
      <c r="D14" s="3">
        <v>52.3249999999992</v>
      </c>
      <c r="E14" s="3">
        <v>26.0977777777779</v>
      </c>
      <c r="F14" s="3">
        <v>60.834999999998701</v>
      </c>
      <c r="G14" s="3">
        <v>2.6484722222222299</v>
      </c>
      <c r="H14" s="3">
        <v>0.15</v>
      </c>
      <c r="L14" t="s">
        <v>25</v>
      </c>
      <c r="M14" s="6">
        <f t="shared" si="9"/>
        <v>29.189999999999898</v>
      </c>
      <c r="N14" s="6">
        <f t="shared" si="9"/>
        <v>50.584999999999198</v>
      </c>
      <c r="O14" s="6">
        <f t="shared" si="9"/>
        <v>25.264305555555701</v>
      </c>
      <c r="P14" s="6">
        <f t="shared" si="9"/>
        <v>63.174999999998597</v>
      </c>
      <c r="Q14" s="6">
        <f t="shared" si="9"/>
        <v>1.8384722222222301</v>
      </c>
      <c r="R14" s="6">
        <f t="shared" si="9"/>
        <v>0.13</v>
      </c>
      <c r="S14" s="7">
        <f t="shared" si="10"/>
        <v>5</v>
      </c>
      <c r="T14">
        <f>AVERAGE(U14:Z14)</f>
        <v>4.5</v>
      </c>
      <c r="U14">
        <f t="shared" ref="U14:U19" si="12">(_xlfn.RANK.AVG(M14,M$13:M$19))</f>
        <v>6</v>
      </c>
      <c r="V14">
        <f t="shared" si="11"/>
        <v>5</v>
      </c>
      <c r="W14">
        <f t="shared" si="11"/>
        <v>3</v>
      </c>
      <c r="X14">
        <f t="shared" ref="X14:X19" si="13">(_xlfn.RANK.AVG(P14,P$13:P$19,1))</f>
        <v>6</v>
      </c>
      <c r="Y14">
        <f t="shared" ref="Y14:Y19" si="14">(_xlfn.RANK.AVG(Q14,Q$13:Q$19,1))</f>
        <v>5</v>
      </c>
      <c r="Z14">
        <f t="shared" ref="Z14:Z19" si="15">(_xlfn.RANK.AVG(R14,R$13:R$19,1))</f>
        <v>2</v>
      </c>
    </row>
    <row r="15" spans="1:26">
      <c r="B15" t="s">
        <v>17</v>
      </c>
      <c r="C15" s="3">
        <v>28.534999999999801</v>
      </c>
      <c r="D15" s="3">
        <v>48.054999999999197</v>
      </c>
      <c r="E15" s="3">
        <v>23.577361111111198</v>
      </c>
      <c r="F15" s="3">
        <v>63.069999999998601</v>
      </c>
      <c r="G15" s="3">
        <v>0.63097222222222005</v>
      </c>
      <c r="H15" s="3">
        <v>0.125</v>
      </c>
      <c r="L15" t="s">
        <v>26</v>
      </c>
      <c r="M15" s="8">
        <f t="shared" si="9"/>
        <v>30.61</v>
      </c>
      <c r="N15" s="6">
        <f t="shared" si="9"/>
        <v>52.3249999999992</v>
      </c>
      <c r="O15" s="8">
        <f t="shared" si="9"/>
        <v>26.0977777777779</v>
      </c>
      <c r="P15" s="6">
        <f t="shared" si="9"/>
        <v>60.834999999998701</v>
      </c>
      <c r="Q15" s="6">
        <f t="shared" si="9"/>
        <v>2.6484722222222299</v>
      </c>
      <c r="R15" s="6">
        <f t="shared" si="9"/>
        <v>0.15</v>
      </c>
      <c r="S15" s="7">
        <f t="shared" si="10"/>
        <v>3</v>
      </c>
      <c r="T15">
        <f t="shared" si="4"/>
        <v>3.5</v>
      </c>
      <c r="U15">
        <f t="shared" si="12"/>
        <v>3</v>
      </c>
      <c r="V15">
        <f t="shared" si="11"/>
        <v>4</v>
      </c>
      <c r="W15">
        <f t="shared" si="11"/>
        <v>1</v>
      </c>
      <c r="X15">
        <f t="shared" si="13"/>
        <v>3</v>
      </c>
      <c r="Y15">
        <f t="shared" si="14"/>
        <v>6</v>
      </c>
      <c r="Z15">
        <f t="shared" si="15"/>
        <v>4</v>
      </c>
    </row>
    <row r="16" spans="1:26">
      <c r="B16" t="s">
        <v>16</v>
      </c>
      <c r="C16" s="3">
        <v>29.944999999999901</v>
      </c>
      <c r="D16" s="3">
        <v>50.484999999999197</v>
      </c>
      <c r="E16" s="3">
        <v>24.234305555555601</v>
      </c>
      <c r="F16" s="3">
        <v>63.029999999998502</v>
      </c>
      <c r="G16" s="3">
        <v>1.09402777777778</v>
      </c>
      <c r="H16" s="3">
        <v>0.14000000000000001</v>
      </c>
      <c r="L16" t="s">
        <v>27</v>
      </c>
      <c r="M16" s="6">
        <f t="shared" si="9"/>
        <v>28.534999999999801</v>
      </c>
      <c r="N16" s="6">
        <f t="shared" si="9"/>
        <v>48.054999999999197</v>
      </c>
      <c r="O16" s="6">
        <f t="shared" si="9"/>
        <v>23.577361111111198</v>
      </c>
      <c r="P16" s="6">
        <f t="shared" si="9"/>
        <v>63.069999999998601</v>
      </c>
      <c r="Q16" s="8">
        <f t="shared" si="9"/>
        <v>0.63097222222222005</v>
      </c>
      <c r="R16" s="8">
        <f t="shared" si="9"/>
        <v>0.125</v>
      </c>
      <c r="S16" s="7">
        <f t="shared" si="10"/>
        <v>5</v>
      </c>
      <c r="T16">
        <f t="shared" si="4"/>
        <v>4.5</v>
      </c>
      <c r="U16">
        <f t="shared" si="12"/>
        <v>7</v>
      </c>
      <c r="V16">
        <f t="shared" si="11"/>
        <v>7</v>
      </c>
      <c r="W16">
        <f t="shared" si="11"/>
        <v>6</v>
      </c>
      <c r="X16">
        <f t="shared" si="13"/>
        <v>5</v>
      </c>
      <c r="Y16">
        <f t="shared" si="14"/>
        <v>1</v>
      </c>
      <c r="Z16">
        <f t="shared" si="15"/>
        <v>1</v>
      </c>
    </row>
    <row r="17" spans="1:26">
      <c r="B17" t="s">
        <v>13</v>
      </c>
      <c r="C17" s="3">
        <v>30.035000000000199</v>
      </c>
      <c r="D17" s="3">
        <v>55.909999999999002</v>
      </c>
      <c r="E17" s="3">
        <v>18.685972222222201</v>
      </c>
      <c r="F17" s="3">
        <v>66.404999999998395</v>
      </c>
      <c r="G17" s="3">
        <v>4.4872222222222504</v>
      </c>
      <c r="H17" s="3">
        <v>0.35499999999999998</v>
      </c>
      <c r="L17" t="s">
        <v>28</v>
      </c>
      <c r="M17" s="6">
        <f t="shared" si="9"/>
        <v>29.944999999999901</v>
      </c>
      <c r="N17" s="6">
        <f t="shared" si="9"/>
        <v>50.484999999999197</v>
      </c>
      <c r="O17" s="6">
        <f t="shared" si="9"/>
        <v>24.234305555555601</v>
      </c>
      <c r="P17" s="6">
        <f t="shared" si="9"/>
        <v>63.029999999998502</v>
      </c>
      <c r="Q17" s="6">
        <f t="shared" si="9"/>
        <v>1.09402777777778</v>
      </c>
      <c r="R17" s="6">
        <f t="shared" si="9"/>
        <v>0.14000000000000001</v>
      </c>
      <c r="S17" s="7">
        <f t="shared" si="10"/>
        <v>4</v>
      </c>
      <c r="T17">
        <f t="shared" si="4"/>
        <v>4.166666666666667</v>
      </c>
      <c r="U17">
        <f t="shared" si="12"/>
        <v>5</v>
      </c>
      <c r="V17">
        <f t="shared" si="11"/>
        <v>6</v>
      </c>
      <c r="W17">
        <f t="shared" si="11"/>
        <v>5</v>
      </c>
      <c r="X17">
        <f t="shared" si="13"/>
        <v>4</v>
      </c>
      <c r="Y17">
        <f t="shared" si="14"/>
        <v>2</v>
      </c>
      <c r="Z17">
        <f t="shared" si="15"/>
        <v>3</v>
      </c>
    </row>
    <row r="18" spans="1:26">
      <c r="B18" t="s">
        <v>14</v>
      </c>
      <c r="C18" s="3">
        <v>32.259999999999899</v>
      </c>
      <c r="D18" s="3">
        <v>57.174999999998803</v>
      </c>
      <c r="E18" s="3">
        <v>24.956666666666901</v>
      </c>
      <c r="F18" s="3">
        <v>50.034999999999101</v>
      </c>
      <c r="G18" s="3">
        <v>1.4272222222222199</v>
      </c>
      <c r="H18" s="3">
        <v>0.36</v>
      </c>
      <c r="L18" t="s">
        <v>29</v>
      </c>
      <c r="M18" s="6">
        <f t="shared" si="9"/>
        <v>30.035000000000199</v>
      </c>
      <c r="N18" s="8">
        <f t="shared" si="9"/>
        <v>55.909999999999002</v>
      </c>
      <c r="O18" s="6">
        <f t="shared" si="9"/>
        <v>18.685972222222201</v>
      </c>
      <c r="P18" s="6">
        <f t="shared" si="9"/>
        <v>66.404999999998395</v>
      </c>
      <c r="Q18" s="6">
        <f t="shared" si="9"/>
        <v>4.4872222222222504</v>
      </c>
      <c r="R18" s="6">
        <f t="shared" si="9"/>
        <v>0.35499999999999998</v>
      </c>
      <c r="S18" s="7">
        <f t="shared" si="10"/>
        <v>7</v>
      </c>
      <c r="T18">
        <f t="shared" si="4"/>
        <v>5.5</v>
      </c>
      <c r="U18">
        <f t="shared" si="12"/>
        <v>4</v>
      </c>
      <c r="V18">
        <f t="shared" si="11"/>
        <v>2</v>
      </c>
      <c r="W18">
        <f t="shared" si="11"/>
        <v>7</v>
      </c>
      <c r="X18">
        <f t="shared" si="13"/>
        <v>7</v>
      </c>
      <c r="Y18">
        <f t="shared" si="14"/>
        <v>7</v>
      </c>
      <c r="Z18">
        <f t="shared" si="15"/>
        <v>6</v>
      </c>
    </row>
    <row r="19" spans="1:26">
      <c r="A19" t="s">
        <v>18</v>
      </c>
      <c r="C19" s="3">
        <v>401.93100000000095</v>
      </c>
      <c r="D19" s="3">
        <v>699.85499999998819</v>
      </c>
      <c r="E19" s="3">
        <v>313.22719444444402</v>
      </c>
      <c r="F19" s="3">
        <v>835.0779999999944</v>
      </c>
      <c r="G19" s="3">
        <v>29.180861111111302</v>
      </c>
      <c r="H19" s="3">
        <v>4.6500000000000012</v>
      </c>
      <c r="L19" t="s">
        <v>30</v>
      </c>
      <c r="M19" s="6">
        <f t="shared" si="9"/>
        <v>32.259999999999899</v>
      </c>
      <c r="N19" s="6">
        <f t="shared" si="9"/>
        <v>57.174999999998803</v>
      </c>
      <c r="O19" s="6">
        <f t="shared" si="9"/>
        <v>24.956666666666901</v>
      </c>
      <c r="P19" s="8">
        <f t="shared" si="9"/>
        <v>50.034999999999101</v>
      </c>
      <c r="Q19" s="6">
        <f t="shared" si="9"/>
        <v>1.4272222222222199</v>
      </c>
      <c r="R19" s="6">
        <f t="shared" si="9"/>
        <v>0.36</v>
      </c>
      <c r="S19" s="7">
        <f t="shared" si="10"/>
        <v>1</v>
      </c>
      <c r="T19">
        <f t="shared" si="4"/>
        <v>2.8333333333333335</v>
      </c>
      <c r="U19">
        <f t="shared" si="12"/>
        <v>1</v>
      </c>
      <c r="V19">
        <f t="shared" si="11"/>
        <v>1</v>
      </c>
      <c r="W19">
        <f t="shared" si="11"/>
        <v>4</v>
      </c>
      <c r="X19">
        <f t="shared" si="13"/>
        <v>1</v>
      </c>
      <c r="Y19">
        <f t="shared" si="14"/>
        <v>3</v>
      </c>
      <c r="Z19">
        <f t="shared" si="15"/>
        <v>7</v>
      </c>
    </row>
    <row r="20" spans="1:26">
      <c r="M20" s="5"/>
      <c r="N20" s="5"/>
      <c r="O20" s="5"/>
      <c r="P20" s="5"/>
      <c r="Q20" s="5"/>
      <c r="R20" s="5"/>
      <c r="S20" s="7"/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9"/>
  <sheetViews>
    <sheetView workbookViewId="0">
      <selection activeCell="A2" sqref="A2:L29"/>
    </sheetView>
  </sheetViews>
  <sheetFormatPr defaultRowHeight="14.7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37</v>
      </c>
      <c r="L1" t="s">
        <v>10</v>
      </c>
    </row>
    <row r="2" spans="1:12">
      <c r="A2">
        <v>36</v>
      </c>
      <c r="B2">
        <v>1</v>
      </c>
      <c r="C2">
        <v>1</v>
      </c>
      <c r="D2">
        <v>30.979999999999901</v>
      </c>
      <c r="E2">
        <v>52.689999999999102</v>
      </c>
      <c r="F2">
        <v>25.6912500000001</v>
      </c>
      <c r="G2">
        <v>44.333750000000002</v>
      </c>
      <c r="H2">
        <v>2.0299999999999998</v>
      </c>
      <c r="I2">
        <v>1.50430555555555</v>
      </c>
      <c r="J2">
        <v>59.194999999998799</v>
      </c>
      <c r="K2">
        <v>0.19</v>
      </c>
      <c r="L2" t="s">
        <v>11</v>
      </c>
    </row>
    <row r="3" spans="1:12">
      <c r="A3">
        <v>36</v>
      </c>
      <c r="B3">
        <v>2</v>
      </c>
      <c r="C3">
        <v>1</v>
      </c>
      <c r="D3">
        <v>28.975000000000001</v>
      </c>
      <c r="E3">
        <v>47.959999999999198</v>
      </c>
      <c r="F3">
        <v>24.894166666666798</v>
      </c>
      <c r="G3">
        <v>40.636666666666599</v>
      </c>
      <c r="H3">
        <v>1.69</v>
      </c>
      <c r="I3">
        <v>1.7333333333333301</v>
      </c>
      <c r="J3">
        <v>63.424999999998597</v>
      </c>
      <c r="K3">
        <v>0.44</v>
      </c>
      <c r="L3" t="s">
        <v>11</v>
      </c>
    </row>
    <row r="4" spans="1:12">
      <c r="A4">
        <v>18</v>
      </c>
      <c r="B4">
        <v>1</v>
      </c>
      <c r="C4">
        <v>1</v>
      </c>
      <c r="D4">
        <v>28.117999999999999</v>
      </c>
      <c r="E4">
        <v>47.754999999999299</v>
      </c>
      <c r="F4">
        <v>22.360499999999799</v>
      </c>
      <c r="G4">
        <v>38.577722222222498</v>
      </c>
      <c r="H4">
        <v>1.1120000000000001</v>
      </c>
      <c r="I4">
        <v>2.1668888888889</v>
      </c>
      <c r="J4">
        <v>56.5030000000001</v>
      </c>
      <c r="K4">
        <v>0.51</v>
      </c>
      <c r="L4" t="s">
        <v>11</v>
      </c>
    </row>
    <row r="5" spans="1:12">
      <c r="A5">
        <v>18</v>
      </c>
      <c r="B5">
        <v>2</v>
      </c>
      <c r="C5">
        <v>1</v>
      </c>
      <c r="D5">
        <v>27.1090000000003</v>
      </c>
      <c r="E5">
        <v>44.391000000000098</v>
      </c>
      <c r="F5">
        <v>21.893388888888602</v>
      </c>
      <c r="G5">
        <v>35.421444444445697</v>
      </c>
      <c r="H5">
        <v>1.0880000000000001</v>
      </c>
      <c r="I5">
        <v>2.26677777777779</v>
      </c>
      <c r="J5">
        <v>60.040000000000298</v>
      </c>
      <c r="K5">
        <v>1.127</v>
      </c>
      <c r="L5" t="s">
        <v>11</v>
      </c>
    </row>
    <row r="6" spans="1:12">
      <c r="A6">
        <v>36</v>
      </c>
      <c r="B6">
        <v>1</v>
      </c>
      <c r="C6">
        <v>1</v>
      </c>
      <c r="D6">
        <v>29.189999999999898</v>
      </c>
      <c r="E6">
        <v>50.584999999999198</v>
      </c>
      <c r="F6">
        <v>25.264305555555701</v>
      </c>
      <c r="G6">
        <v>43.923472222222301</v>
      </c>
      <c r="H6">
        <v>2.31</v>
      </c>
      <c r="I6">
        <v>1.8384722222222301</v>
      </c>
      <c r="J6">
        <v>63.174999999998597</v>
      </c>
      <c r="K6">
        <v>0.13</v>
      </c>
      <c r="L6" t="s">
        <v>12</v>
      </c>
    </row>
    <row r="7" spans="1:12">
      <c r="A7">
        <v>36</v>
      </c>
      <c r="B7">
        <v>2</v>
      </c>
      <c r="C7">
        <v>1</v>
      </c>
      <c r="D7">
        <v>29.44</v>
      </c>
      <c r="E7">
        <v>48.354999999999301</v>
      </c>
      <c r="F7">
        <v>25.155416666666799</v>
      </c>
      <c r="G7">
        <v>41.592083333333299</v>
      </c>
      <c r="H7">
        <v>2.2050000000000001</v>
      </c>
      <c r="I7">
        <v>1.97611111111111</v>
      </c>
      <c r="J7">
        <v>62.864999999998602</v>
      </c>
      <c r="K7">
        <v>0.48499999999999999</v>
      </c>
      <c r="L7" t="s">
        <v>12</v>
      </c>
    </row>
    <row r="8" spans="1:12">
      <c r="A8">
        <v>18</v>
      </c>
      <c r="B8">
        <v>1</v>
      </c>
      <c r="C8">
        <v>1</v>
      </c>
      <c r="D8">
        <v>27.545000000000101</v>
      </c>
      <c r="E8">
        <v>47.382999999999399</v>
      </c>
      <c r="F8">
        <v>22.404277777777502</v>
      </c>
      <c r="G8">
        <v>38.987055555555798</v>
      </c>
      <c r="H8">
        <v>1.325</v>
      </c>
      <c r="I8">
        <v>2.3324444444444601</v>
      </c>
      <c r="J8">
        <v>60.975999999999999</v>
      </c>
      <c r="K8">
        <v>0.39200000000000002</v>
      </c>
      <c r="L8" t="s">
        <v>12</v>
      </c>
    </row>
    <row r="9" spans="1:12">
      <c r="A9">
        <v>18</v>
      </c>
      <c r="B9">
        <v>2</v>
      </c>
      <c r="C9">
        <v>1</v>
      </c>
      <c r="D9">
        <v>27.0130000000004</v>
      </c>
      <c r="E9">
        <v>44.561999999999998</v>
      </c>
      <c r="F9">
        <v>21.8933333333331</v>
      </c>
      <c r="G9">
        <v>35.849444444445702</v>
      </c>
      <c r="H9">
        <v>1.31</v>
      </c>
      <c r="I9">
        <v>2.5296111111111301</v>
      </c>
      <c r="J9">
        <v>60.947999999999901</v>
      </c>
      <c r="K9">
        <v>1.0780000000000001</v>
      </c>
      <c r="L9" t="s">
        <v>12</v>
      </c>
    </row>
    <row r="10" spans="1:12">
      <c r="A10">
        <v>36</v>
      </c>
      <c r="B10">
        <v>1</v>
      </c>
      <c r="C10">
        <v>1</v>
      </c>
      <c r="D10">
        <v>30.035000000000199</v>
      </c>
      <c r="E10">
        <v>55.909999999999002</v>
      </c>
      <c r="F10">
        <v>18.685972222222201</v>
      </c>
      <c r="G10">
        <v>37.641388888888997</v>
      </c>
      <c r="H10">
        <v>2.2400000000000002</v>
      </c>
      <c r="I10">
        <v>4.4872222222222504</v>
      </c>
      <c r="J10">
        <v>66.404999999998395</v>
      </c>
      <c r="K10">
        <v>0.35499999999999998</v>
      </c>
      <c r="L10" t="s">
        <v>13</v>
      </c>
    </row>
    <row r="11" spans="1:12">
      <c r="A11">
        <v>36</v>
      </c>
      <c r="B11">
        <v>2</v>
      </c>
      <c r="C11">
        <v>1</v>
      </c>
      <c r="D11">
        <v>30.070000000000299</v>
      </c>
      <c r="E11">
        <v>57.299999999998903</v>
      </c>
      <c r="F11">
        <v>19.6695833333333</v>
      </c>
      <c r="G11">
        <v>46.093055555555601</v>
      </c>
      <c r="H11">
        <v>2.2250000000000001</v>
      </c>
      <c r="I11">
        <v>4.6733333333333702</v>
      </c>
      <c r="J11">
        <v>64.514999999998494</v>
      </c>
      <c r="K11">
        <v>0.65</v>
      </c>
      <c r="L11" t="s">
        <v>13</v>
      </c>
    </row>
    <row r="12" spans="1:12">
      <c r="A12">
        <v>18</v>
      </c>
      <c r="B12">
        <v>1</v>
      </c>
      <c r="C12">
        <v>1</v>
      </c>
      <c r="D12">
        <v>26.571000000001099</v>
      </c>
      <c r="E12">
        <v>50.233999999998296</v>
      </c>
      <c r="F12">
        <v>14.627333333333601</v>
      </c>
      <c r="G12">
        <v>32.378722222221299</v>
      </c>
      <c r="H12">
        <v>1.4610000000000001</v>
      </c>
      <c r="I12">
        <v>4.2002222222223002</v>
      </c>
      <c r="J12">
        <v>58.772999999998198</v>
      </c>
      <c r="K12">
        <v>0.72000000000000097</v>
      </c>
      <c r="L12" t="s">
        <v>13</v>
      </c>
    </row>
    <row r="13" spans="1:12">
      <c r="A13">
        <v>18</v>
      </c>
      <c r="B13">
        <v>2</v>
      </c>
      <c r="C13">
        <v>1</v>
      </c>
      <c r="D13">
        <v>26.009000000001301</v>
      </c>
      <c r="E13">
        <v>50.924999999998597</v>
      </c>
      <c r="F13">
        <v>15.5365</v>
      </c>
      <c r="G13">
        <v>37.101222222221899</v>
      </c>
      <c r="H13">
        <v>1.4890000000000001</v>
      </c>
      <c r="I13">
        <v>4.3541111111111999</v>
      </c>
      <c r="J13">
        <v>56.888999999998397</v>
      </c>
      <c r="K13">
        <v>1.627</v>
      </c>
      <c r="L13" t="s">
        <v>13</v>
      </c>
    </row>
    <row r="14" spans="1:12">
      <c r="A14">
        <v>36</v>
      </c>
      <c r="B14">
        <v>1</v>
      </c>
      <c r="C14">
        <v>1</v>
      </c>
      <c r="D14">
        <v>32.259999999999899</v>
      </c>
      <c r="E14">
        <v>57.174999999998803</v>
      </c>
      <c r="F14">
        <v>24.956666666666901</v>
      </c>
      <c r="G14">
        <v>43.965416666666798</v>
      </c>
      <c r="H14">
        <v>3.08</v>
      </c>
      <c r="I14">
        <v>1.4272222222222199</v>
      </c>
      <c r="J14">
        <v>50.034999999999101</v>
      </c>
      <c r="K14">
        <v>0.36</v>
      </c>
      <c r="L14" t="s">
        <v>14</v>
      </c>
    </row>
    <row r="15" spans="1:12">
      <c r="A15">
        <v>36</v>
      </c>
      <c r="B15">
        <v>2</v>
      </c>
      <c r="C15">
        <v>1</v>
      </c>
      <c r="D15">
        <v>31.420000000000201</v>
      </c>
      <c r="E15">
        <v>57.454999999998797</v>
      </c>
      <c r="F15">
        <v>24.6533333333334</v>
      </c>
      <c r="G15">
        <v>43.166527777777702</v>
      </c>
      <c r="H15">
        <v>2.415</v>
      </c>
      <c r="I15">
        <v>2.2013888888888999</v>
      </c>
      <c r="J15">
        <v>47.459999999999397</v>
      </c>
      <c r="K15">
        <v>0.95</v>
      </c>
      <c r="L15" t="s">
        <v>14</v>
      </c>
    </row>
    <row r="16" spans="1:12">
      <c r="A16">
        <v>18</v>
      </c>
      <c r="B16">
        <v>1</v>
      </c>
      <c r="C16">
        <v>1</v>
      </c>
      <c r="D16">
        <v>28.0130000000003</v>
      </c>
      <c r="E16">
        <v>50.030999999999302</v>
      </c>
      <c r="F16">
        <v>21.499555555555499</v>
      </c>
      <c r="G16">
        <v>38.727611111111102</v>
      </c>
      <c r="H16">
        <v>1.4670000000000001</v>
      </c>
      <c r="I16">
        <v>1.9801666666666899</v>
      </c>
      <c r="J16">
        <v>48.7060000000006</v>
      </c>
      <c r="K16">
        <v>0.53600000000000003</v>
      </c>
      <c r="L16" t="s">
        <v>14</v>
      </c>
    </row>
    <row r="17" spans="1:12">
      <c r="A17">
        <v>18</v>
      </c>
      <c r="B17">
        <v>2</v>
      </c>
      <c r="C17">
        <v>1</v>
      </c>
      <c r="D17">
        <v>28.0340000000012</v>
      </c>
      <c r="E17">
        <v>52.160999999999298</v>
      </c>
      <c r="F17">
        <v>21.224722222221899</v>
      </c>
      <c r="G17">
        <v>38.4032777777782</v>
      </c>
      <c r="H17">
        <v>1.2709999999999999</v>
      </c>
      <c r="I17">
        <v>3.09061111111117</v>
      </c>
      <c r="J17">
        <v>43.089000000000098</v>
      </c>
      <c r="K17">
        <v>1.6180000000000001</v>
      </c>
      <c r="L17" t="s">
        <v>14</v>
      </c>
    </row>
    <row r="18" spans="1:12">
      <c r="A18">
        <v>36</v>
      </c>
      <c r="B18">
        <v>1</v>
      </c>
      <c r="C18">
        <v>1</v>
      </c>
      <c r="D18">
        <v>30.61</v>
      </c>
      <c r="E18">
        <v>52.3249999999992</v>
      </c>
      <c r="F18">
        <v>26.0977777777779</v>
      </c>
      <c r="G18">
        <v>44.713611111111199</v>
      </c>
      <c r="H18">
        <v>1.41</v>
      </c>
      <c r="I18">
        <v>2.6484722222222299</v>
      </c>
      <c r="J18">
        <v>60.834999999998701</v>
      </c>
      <c r="K18">
        <v>0.15</v>
      </c>
      <c r="L18" t="s">
        <v>15</v>
      </c>
    </row>
    <row r="19" spans="1:12">
      <c r="A19">
        <v>36</v>
      </c>
      <c r="B19">
        <v>2</v>
      </c>
      <c r="C19">
        <v>1</v>
      </c>
      <c r="D19">
        <v>29.815000000000001</v>
      </c>
      <c r="E19">
        <v>50.224999999999199</v>
      </c>
      <c r="F19">
        <v>25.390277777777801</v>
      </c>
      <c r="G19">
        <v>42.814722222222201</v>
      </c>
      <c r="H19">
        <v>1.37</v>
      </c>
      <c r="I19">
        <v>2.9884722222222302</v>
      </c>
      <c r="J19">
        <v>60.984999999998699</v>
      </c>
      <c r="K19">
        <v>0.49</v>
      </c>
      <c r="L19" t="s">
        <v>15</v>
      </c>
    </row>
    <row r="20" spans="1:12">
      <c r="A20">
        <v>18</v>
      </c>
      <c r="B20">
        <v>1</v>
      </c>
      <c r="C20">
        <v>1</v>
      </c>
      <c r="D20">
        <v>28.542000000000101</v>
      </c>
      <c r="E20">
        <v>48.8159999999992</v>
      </c>
      <c r="F20">
        <v>22.6198888888885</v>
      </c>
      <c r="G20">
        <v>39.559333333333498</v>
      </c>
      <c r="H20">
        <v>0.85199999999999998</v>
      </c>
      <c r="I20">
        <v>3.1053333333333599</v>
      </c>
      <c r="J20">
        <v>59.060999999999403</v>
      </c>
      <c r="K20">
        <v>0.49</v>
      </c>
      <c r="L20" t="s">
        <v>15</v>
      </c>
    </row>
    <row r="21" spans="1:12">
      <c r="A21">
        <v>18</v>
      </c>
      <c r="B21">
        <v>2</v>
      </c>
      <c r="C21">
        <v>1</v>
      </c>
      <c r="D21">
        <v>27.750000000000501</v>
      </c>
      <c r="E21">
        <v>46.343000000000004</v>
      </c>
      <c r="F21">
        <v>22.046888888888599</v>
      </c>
      <c r="G21">
        <v>36.714166666668</v>
      </c>
      <c r="H21">
        <v>0.86599999999999999</v>
      </c>
      <c r="I21">
        <v>3.34405555555559</v>
      </c>
      <c r="J21">
        <v>59.177999999999301</v>
      </c>
      <c r="K21">
        <v>1.282</v>
      </c>
      <c r="L21" t="s">
        <v>15</v>
      </c>
    </row>
    <row r="22" spans="1:12">
      <c r="A22">
        <v>36</v>
      </c>
      <c r="B22">
        <v>1</v>
      </c>
      <c r="C22">
        <v>1</v>
      </c>
      <c r="D22">
        <v>29.944999999999901</v>
      </c>
      <c r="E22">
        <v>50.484999999999197</v>
      </c>
      <c r="F22">
        <v>24.234305555555601</v>
      </c>
      <c r="G22">
        <v>41.492638888888898</v>
      </c>
      <c r="H22">
        <v>2.2599999999999998</v>
      </c>
      <c r="I22">
        <v>1.09402777777778</v>
      </c>
      <c r="J22">
        <v>63.029999999998502</v>
      </c>
      <c r="K22">
        <v>0.14000000000000001</v>
      </c>
      <c r="L22" t="s">
        <v>16</v>
      </c>
    </row>
    <row r="23" spans="1:12">
      <c r="A23">
        <v>36</v>
      </c>
      <c r="B23">
        <v>2</v>
      </c>
      <c r="C23">
        <v>1</v>
      </c>
      <c r="D23">
        <v>29.065000000000001</v>
      </c>
      <c r="E23">
        <v>47.334999999999297</v>
      </c>
      <c r="F23">
        <v>23.925555555555601</v>
      </c>
      <c r="G23">
        <v>38.9462499999999</v>
      </c>
      <c r="H23">
        <v>2.2650000000000001</v>
      </c>
      <c r="I23">
        <v>1.21444444444444</v>
      </c>
      <c r="J23">
        <v>63.319999999998501</v>
      </c>
      <c r="K23">
        <v>0.495</v>
      </c>
      <c r="L23" t="s">
        <v>16</v>
      </c>
    </row>
    <row r="24" spans="1:12">
      <c r="A24">
        <v>18</v>
      </c>
      <c r="B24">
        <v>1</v>
      </c>
      <c r="C24">
        <v>1</v>
      </c>
      <c r="D24">
        <v>26.408000000000001</v>
      </c>
      <c r="E24">
        <v>45.445999999999302</v>
      </c>
      <c r="F24">
        <v>20.7879444444442</v>
      </c>
      <c r="G24">
        <v>35.766444444444701</v>
      </c>
      <c r="H24">
        <v>1.4750000000000001</v>
      </c>
      <c r="I24">
        <v>1.0882777777777799</v>
      </c>
      <c r="J24">
        <v>61.966000000002097</v>
      </c>
      <c r="K24">
        <v>0.309</v>
      </c>
      <c r="L24" t="s">
        <v>16</v>
      </c>
    </row>
    <row r="25" spans="1:12">
      <c r="A25">
        <v>18</v>
      </c>
      <c r="B25">
        <v>2</v>
      </c>
      <c r="C25">
        <v>1</v>
      </c>
      <c r="D25">
        <v>25.822000000000301</v>
      </c>
      <c r="E25">
        <v>42.2100000000001</v>
      </c>
      <c r="F25">
        <v>20.3869444444442</v>
      </c>
      <c r="G25">
        <v>32.609888888890097</v>
      </c>
      <c r="H25">
        <v>1.474</v>
      </c>
      <c r="I25">
        <v>1.1706111111111099</v>
      </c>
      <c r="J25">
        <v>62.530000000002097</v>
      </c>
      <c r="K25">
        <v>0.90100000000000002</v>
      </c>
      <c r="L25" t="s">
        <v>16</v>
      </c>
    </row>
    <row r="26" spans="1:12">
      <c r="A26">
        <v>36</v>
      </c>
      <c r="B26">
        <v>1</v>
      </c>
      <c r="C26">
        <v>1</v>
      </c>
      <c r="D26">
        <v>28.534999999999801</v>
      </c>
      <c r="E26">
        <v>48.054999999999197</v>
      </c>
      <c r="F26">
        <v>23.577361111111198</v>
      </c>
      <c r="G26">
        <v>40.080694444444497</v>
      </c>
      <c r="H26">
        <v>4.46</v>
      </c>
      <c r="I26">
        <v>0.63097222222222005</v>
      </c>
      <c r="J26">
        <v>63.069999999998601</v>
      </c>
      <c r="K26">
        <v>0.125</v>
      </c>
      <c r="L26" t="s">
        <v>17</v>
      </c>
    </row>
    <row r="27" spans="1:12">
      <c r="A27">
        <v>36</v>
      </c>
      <c r="B27">
        <v>2</v>
      </c>
      <c r="C27">
        <v>1</v>
      </c>
      <c r="D27">
        <v>27.724999999999898</v>
      </c>
      <c r="E27">
        <v>43.9099999999993</v>
      </c>
      <c r="F27">
        <v>23.026944444444499</v>
      </c>
      <c r="G27">
        <v>35.786249999999903</v>
      </c>
      <c r="H27">
        <v>4.6550000000000002</v>
      </c>
      <c r="I27">
        <v>0.61194444444444396</v>
      </c>
      <c r="J27">
        <v>63.779999999998502</v>
      </c>
      <c r="K27">
        <v>0.37</v>
      </c>
      <c r="L27" t="s">
        <v>17</v>
      </c>
    </row>
    <row r="28" spans="1:12">
      <c r="A28">
        <v>18</v>
      </c>
      <c r="B28">
        <v>1</v>
      </c>
      <c r="C28">
        <v>1</v>
      </c>
      <c r="D28">
        <v>25.1789999999998</v>
      </c>
      <c r="E28">
        <v>42.964999999999598</v>
      </c>
      <c r="F28">
        <v>20.4200555555554</v>
      </c>
      <c r="G28">
        <v>34.608833333333898</v>
      </c>
      <c r="H28">
        <v>2.5230000000000001</v>
      </c>
      <c r="I28">
        <v>0.67683333333333195</v>
      </c>
      <c r="J28">
        <v>63.348000000003402</v>
      </c>
      <c r="K28">
        <v>0.24299999999999999</v>
      </c>
      <c r="L28" t="s">
        <v>17</v>
      </c>
    </row>
    <row r="29" spans="1:12">
      <c r="A29">
        <v>18</v>
      </c>
      <c r="B29">
        <v>2</v>
      </c>
      <c r="C29">
        <v>1</v>
      </c>
      <c r="D29">
        <v>24.8960000000001</v>
      </c>
      <c r="E29">
        <v>39.330000000000297</v>
      </c>
      <c r="F29">
        <v>19.942277777777601</v>
      </c>
      <c r="G29">
        <v>30.600722222223499</v>
      </c>
      <c r="H29">
        <v>2.48</v>
      </c>
      <c r="I29">
        <v>0.74461111111111</v>
      </c>
      <c r="J29">
        <v>63.984000000003199</v>
      </c>
      <c r="K29">
        <v>0.65600000000000003</v>
      </c>
      <c r="L29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Outputtable</vt:lpstr>
      <vt:lpstr>efficacy</vt:lpstr>
      <vt:lpstr>utility</vt:lpstr>
      <vt:lpstr>simres.csv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shl</cp:lastModifiedBy>
  <dcterms:created xsi:type="dcterms:W3CDTF">2022-03-09T23:05:10Z</dcterms:created>
  <dcterms:modified xsi:type="dcterms:W3CDTF">2022-08-31T16:30:16Z</dcterms:modified>
</cp:coreProperties>
</file>