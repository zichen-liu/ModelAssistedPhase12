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\functional\comparedesign\Rev\code v3\NDOSE5\"/>
    </mc:Choice>
  </mc:AlternateContent>
  <xr:revisionPtr revIDLastSave="0" documentId="13_ncr:1_{E5858D39-7154-42F6-A4D8-4C59E9FCEF2A}" xr6:coauthVersionLast="47" xr6:coauthVersionMax="47" xr10:uidLastSave="{00000000-0000-0000-0000-000000000000}"/>
  <bookViews>
    <workbookView xWindow="-90" yWindow="-90" windowWidth="19380" windowHeight="9765" xr2:uid="{00000000-000D-0000-FFFF-FFFF00000000}"/>
  </bookViews>
  <sheets>
    <sheet name="OutputTable" sheetId="6" r:id="rId1"/>
    <sheet name="efficacy" sheetId="5" r:id="rId2"/>
    <sheet name="utility" sheetId="2" r:id="rId3"/>
    <sheet name="simres.csv" sheetId="1" r:id="rId4"/>
  </sheet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9" i="6" l="1"/>
  <c r="I38" i="6"/>
  <c r="I37" i="6"/>
  <c r="I36" i="6"/>
  <c r="I35" i="6"/>
  <c r="I34" i="6"/>
  <c r="I33" i="6"/>
  <c r="I32" i="6"/>
  <c r="I30" i="6"/>
  <c r="I29" i="6"/>
  <c r="I28" i="6"/>
  <c r="I27" i="6"/>
  <c r="I26" i="6"/>
  <c r="I25" i="6"/>
  <c r="I24" i="6"/>
  <c r="I23" i="6"/>
  <c r="I14" i="6"/>
  <c r="I15" i="6"/>
  <c r="I16" i="6"/>
  <c r="I17" i="6"/>
  <c r="I18" i="6"/>
  <c r="I19" i="6"/>
  <c r="I20" i="6"/>
  <c r="I13" i="6"/>
  <c r="I5" i="6"/>
  <c r="I6" i="6"/>
  <c r="I7" i="6"/>
  <c r="I8" i="6"/>
  <c r="I9" i="6"/>
  <c r="I10" i="6"/>
  <c r="I11" i="6"/>
  <c r="I4" i="6"/>
  <c r="B23" i="6" l="1"/>
  <c r="C23" i="6"/>
  <c r="D23" i="6"/>
  <c r="E23" i="6"/>
  <c r="F23" i="6"/>
  <c r="G23" i="6"/>
  <c r="H23" i="6"/>
  <c r="B24" i="6"/>
  <c r="C24" i="6"/>
  <c r="D24" i="6"/>
  <c r="E24" i="6"/>
  <c r="F24" i="6"/>
  <c r="G24" i="6"/>
  <c r="H24" i="6"/>
  <c r="B25" i="6"/>
  <c r="C25" i="6"/>
  <c r="D25" i="6"/>
  <c r="E25" i="6"/>
  <c r="F25" i="6"/>
  <c r="G25" i="6"/>
  <c r="H25" i="6"/>
  <c r="B26" i="6"/>
  <c r="C26" i="6"/>
  <c r="D26" i="6"/>
  <c r="E26" i="6"/>
  <c r="F26" i="6"/>
  <c r="G26" i="6"/>
  <c r="H26" i="6"/>
  <c r="B27" i="6"/>
  <c r="C27" i="6"/>
  <c r="D27" i="6"/>
  <c r="E27" i="6"/>
  <c r="F27" i="6"/>
  <c r="G27" i="6"/>
  <c r="H27" i="6"/>
  <c r="B28" i="6"/>
  <c r="C28" i="6"/>
  <c r="D28" i="6"/>
  <c r="E28" i="6"/>
  <c r="F28" i="6"/>
  <c r="G28" i="6"/>
  <c r="H28" i="6"/>
  <c r="B29" i="6"/>
  <c r="C29" i="6"/>
  <c r="D29" i="6"/>
  <c r="E29" i="6"/>
  <c r="F29" i="6"/>
  <c r="G29" i="6"/>
  <c r="H29" i="6"/>
  <c r="B30" i="6"/>
  <c r="C30" i="6"/>
  <c r="D30" i="6"/>
  <c r="E30" i="6"/>
  <c r="F30" i="6"/>
  <c r="G30" i="6"/>
  <c r="H30" i="6"/>
  <c r="B32" i="6" l="1"/>
  <c r="C32" i="6"/>
  <c r="D32" i="6"/>
  <c r="E32" i="6"/>
  <c r="F32" i="6"/>
  <c r="G32" i="6"/>
  <c r="H32" i="6"/>
  <c r="B33" i="6"/>
  <c r="C33" i="6"/>
  <c r="D33" i="6"/>
  <c r="E33" i="6"/>
  <c r="F33" i="6"/>
  <c r="G33" i="6"/>
  <c r="H33" i="6"/>
  <c r="B34" i="6"/>
  <c r="C34" i="6"/>
  <c r="D34" i="6"/>
  <c r="E34" i="6"/>
  <c r="F34" i="6"/>
  <c r="G34" i="6"/>
  <c r="H34" i="6"/>
  <c r="B35" i="6"/>
  <c r="C35" i="6"/>
  <c r="D35" i="6"/>
  <c r="E35" i="6"/>
  <c r="F35" i="6"/>
  <c r="G35" i="6"/>
  <c r="H35" i="6"/>
  <c r="B36" i="6"/>
  <c r="C36" i="6"/>
  <c r="D36" i="6"/>
  <c r="E36" i="6"/>
  <c r="F36" i="6"/>
  <c r="G36" i="6"/>
  <c r="H36" i="6"/>
  <c r="B37" i="6"/>
  <c r="C37" i="6"/>
  <c r="D37" i="6"/>
  <c r="E37" i="6"/>
  <c r="F37" i="6"/>
  <c r="G37" i="6"/>
  <c r="H37" i="6"/>
  <c r="B38" i="6"/>
  <c r="C38" i="6"/>
  <c r="D38" i="6"/>
  <c r="E38" i="6"/>
  <c r="F38" i="6"/>
  <c r="G38" i="6"/>
  <c r="H38" i="6"/>
  <c r="B39" i="6"/>
  <c r="C39" i="6"/>
  <c r="D39" i="6"/>
  <c r="E39" i="6"/>
  <c r="F39" i="6"/>
  <c r="G39" i="6"/>
  <c r="H39" i="6"/>
  <c r="B2" i="6"/>
  <c r="C2" i="6"/>
  <c r="D2" i="6"/>
  <c r="E2" i="6"/>
  <c r="F2" i="6"/>
  <c r="G2" i="6"/>
  <c r="H2" i="6"/>
  <c r="I2" i="6"/>
  <c r="B4" i="6"/>
  <c r="C4" i="6"/>
  <c r="D4" i="6"/>
  <c r="E4" i="6"/>
  <c r="F4" i="6"/>
  <c r="G4" i="6"/>
  <c r="H4" i="6"/>
  <c r="B5" i="6"/>
  <c r="C5" i="6"/>
  <c r="D5" i="6"/>
  <c r="E5" i="6"/>
  <c r="F5" i="6"/>
  <c r="G5" i="6"/>
  <c r="H5" i="6"/>
  <c r="B6" i="6"/>
  <c r="C6" i="6"/>
  <c r="D6" i="6"/>
  <c r="E6" i="6"/>
  <c r="F6" i="6"/>
  <c r="G6" i="6"/>
  <c r="H6" i="6"/>
  <c r="B7" i="6"/>
  <c r="C7" i="6"/>
  <c r="D7" i="6"/>
  <c r="E7" i="6"/>
  <c r="F7" i="6"/>
  <c r="G7" i="6"/>
  <c r="H7" i="6"/>
  <c r="B8" i="6"/>
  <c r="C8" i="6"/>
  <c r="D8" i="6"/>
  <c r="E8" i="6"/>
  <c r="F8" i="6"/>
  <c r="G8" i="6"/>
  <c r="H8" i="6"/>
  <c r="B9" i="6"/>
  <c r="C9" i="6"/>
  <c r="D9" i="6"/>
  <c r="E9" i="6"/>
  <c r="F9" i="6"/>
  <c r="G9" i="6"/>
  <c r="H9" i="6"/>
  <c r="B10" i="6"/>
  <c r="C10" i="6"/>
  <c r="D10" i="6"/>
  <c r="E10" i="6"/>
  <c r="F10" i="6"/>
  <c r="G10" i="6"/>
  <c r="H10" i="6"/>
  <c r="B11" i="6"/>
  <c r="C11" i="6"/>
  <c r="D11" i="6"/>
  <c r="E11" i="6"/>
  <c r="F11" i="6"/>
  <c r="G11" i="6"/>
  <c r="H11" i="6"/>
  <c r="B13" i="6"/>
  <c r="C13" i="6"/>
  <c r="D13" i="6"/>
  <c r="E13" i="6"/>
  <c r="F13" i="6"/>
  <c r="G13" i="6"/>
  <c r="H13" i="6"/>
  <c r="B14" i="6"/>
  <c r="C14" i="6"/>
  <c r="D14" i="6"/>
  <c r="E14" i="6"/>
  <c r="F14" i="6"/>
  <c r="G14" i="6"/>
  <c r="H14" i="6"/>
  <c r="B15" i="6"/>
  <c r="C15" i="6"/>
  <c r="D15" i="6"/>
  <c r="E15" i="6"/>
  <c r="F15" i="6"/>
  <c r="G15" i="6"/>
  <c r="H15" i="6"/>
  <c r="B16" i="6"/>
  <c r="C16" i="6"/>
  <c r="D16" i="6"/>
  <c r="E16" i="6"/>
  <c r="F16" i="6"/>
  <c r="G16" i="6"/>
  <c r="H16" i="6"/>
  <c r="B17" i="6"/>
  <c r="C17" i="6"/>
  <c r="D17" i="6"/>
  <c r="E17" i="6"/>
  <c r="F17" i="6"/>
  <c r="G17" i="6"/>
  <c r="H17" i="6"/>
  <c r="B18" i="6"/>
  <c r="C18" i="6"/>
  <c r="D18" i="6"/>
  <c r="E18" i="6"/>
  <c r="F18" i="6"/>
  <c r="G18" i="6"/>
  <c r="H18" i="6"/>
  <c r="B19" i="6"/>
  <c r="C19" i="6"/>
  <c r="D19" i="6"/>
  <c r="E19" i="6"/>
  <c r="F19" i="6"/>
  <c r="G19" i="6"/>
  <c r="H19" i="6"/>
  <c r="B20" i="6"/>
  <c r="C20" i="6"/>
  <c r="D20" i="6"/>
  <c r="E20" i="6"/>
  <c r="F20" i="6"/>
  <c r="G20" i="6"/>
  <c r="H20" i="6"/>
  <c r="R20" i="5"/>
  <c r="Q20" i="5"/>
  <c r="P20" i="5"/>
  <c r="O20" i="5"/>
  <c r="N20" i="5"/>
  <c r="M20" i="5"/>
  <c r="R19" i="5"/>
  <c r="Q19" i="5"/>
  <c r="P19" i="5"/>
  <c r="O19" i="5"/>
  <c r="N19" i="5"/>
  <c r="M19" i="5"/>
  <c r="R18" i="5"/>
  <c r="Q18" i="5"/>
  <c r="P18" i="5"/>
  <c r="O18" i="5"/>
  <c r="N18" i="5"/>
  <c r="M18" i="5"/>
  <c r="R17" i="5"/>
  <c r="Q17" i="5"/>
  <c r="P17" i="5"/>
  <c r="O17" i="5"/>
  <c r="W17" i="5" s="1"/>
  <c r="N17" i="5"/>
  <c r="V17" i="5" s="1"/>
  <c r="M17" i="5"/>
  <c r="R16" i="5"/>
  <c r="Q16" i="5"/>
  <c r="Y16" i="5" s="1"/>
  <c r="P16" i="5"/>
  <c r="O16" i="5"/>
  <c r="N16" i="5"/>
  <c r="M16" i="5"/>
  <c r="R15" i="5"/>
  <c r="Q15" i="5"/>
  <c r="Y15" i="5" s="1"/>
  <c r="P15" i="5"/>
  <c r="X15" i="5" s="1"/>
  <c r="O15" i="5"/>
  <c r="N15" i="5"/>
  <c r="M15" i="5"/>
  <c r="R14" i="5"/>
  <c r="Q14" i="5"/>
  <c r="P14" i="5"/>
  <c r="O14" i="5"/>
  <c r="N14" i="5"/>
  <c r="M14" i="5"/>
  <c r="R13" i="5"/>
  <c r="Z13" i="5" s="1"/>
  <c r="Q13" i="5"/>
  <c r="Y13" i="5" s="1"/>
  <c r="P13" i="5"/>
  <c r="O13" i="5"/>
  <c r="N13" i="5"/>
  <c r="M13" i="5"/>
  <c r="R12" i="5"/>
  <c r="Q12" i="5"/>
  <c r="P12" i="5"/>
  <c r="O12" i="5"/>
  <c r="N12" i="5"/>
  <c r="M12" i="5"/>
  <c r="U12" i="5" s="1"/>
  <c r="W11" i="5"/>
  <c r="R11" i="5"/>
  <c r="Q11" i="5"/>
  <c r="P11" i="5"/>
  <c r="O11" i="5"/>
  <c r="N11" i="5"/>
  <c r="M11" i="5"/>
  <c r="R10" i="5"/>
  <c r="Q10" i="5"/>
  <c r="P10" i="5"/>
  <c r="O10" i="5"/>
  <c r="N10" i="5"/>
  <c r="M10" i="5"/>
  <c r="R9" i="5"/>
  <c r="Q9" i="5"/>
  <c r="P9" i="5"/>
  <c r="O9" i="5"/>
  <c r="N9" i="5"/>
  <c r="M9" i="5"/>
  <c r="R8" i="5"/>
  <c r="Q8" i="5"/>
  <c r="Y8" i="5" s="1"/>
  <c r="P8" i="5"/>
  <c r="O8" i="5"/>
  <c r="N8" i="5"/>
  <c r="M8" i="5"/>
  <c r="R7" i="5"/>
  <c r="Z7" i="5" s="1"/>
  <c r="Q7" i="5"/>
  <c r="P7" i="5"/>
  <c r="O7" i="5"/>
  <c r="N7" i="5"/>
  <c r="M7" i="5"/>
  <c r="R6" i="5"/>
  <c r="Q6" i="5"/>
  <c r="P6" i="5"/>
  <c r="O6" i="5"/>
  <c r="N6" i="5"/>
  <c r="M6" i="5"/>
  <c r="U6" i="5" s="1"/>
  <c r="R5" i="5"/>
  <c r="Q5" i="5"/>
  <c r="P5" i="5"/>
  <c r="O5" i="5"/>
  <c r="N5" i="5"/>
  <c r="M5" i="5"/>
  <c r="J5" i="5" s="1"/>
  <c r="S14" i="2"/>
  <c r="S15" i="2"/>
  <c r="S16" i="2"/>
  <c r="S17" i="2"/>
  <c r="S18" i="2"/>
  <c r="S19" i="2"/>
  <c r="S20" i="2"/>
  <c r="S13" i="2"/>
  <c r="T20" i="2"/>
  <c r="X13" i="2"/>
  <c r="Y13" i="2"/>
  <c r="Z13" i="2"/>
  <c r="X14" i="2"/>
  <c r="Y14" i="2"/>
  <c r="Z14" i="2"/>
  <c r="X15" i="2"/>
  <c r="Y15" i="2"/>
  <c r="Z15" i="2"/>
  <c r="X16" i="2"/>
  <c r="Y16" i="2"/>
  <c r="Z16" i="2"/>
  <c r="X17" i="2"/>
  <c r="Y17" i="2"/>
  <c r="Z17" i="2"/>
  <c r="X18" i="2"/>
  <c r="Y18" i="2"/>
  <c r="Z18" i="2"/>
  <c r="X19" i="2"/>
  <c r="Y19" i="2"/>
  <c r="Z19" i="2"/>
  <c r="X20" i="2"/>
  <c r="Y20" i="2"/>
  <c r="Z20" i="2"/>
  <c r="U13" i="2"/>
  <c r="V13" i="2"/>
  <c r="W13" i="2"/>
  <c r="U14" i="2"/>
  <c r="V14" i="2"/>
  <c r="W14" i="2"/>
  <c r="U15" i="2"/>
  <c r="V15" i="2"/>
  <c r="W15" i="2"/>
  <c r="U16" i="2"/>
  <c r="V16" i="2"/>
  <c r="W16" i="2"/>
  <c r="U17" i="2"/>
  <c r="V17" i="2"/>
  <c r="W17" i="2"/>
  <c r="U18" i="2"/>
  <c r="V18" i="2"/>
  <c r="W18" i="2"/>
  <c r="U19" i="2"/>
  <c r="V19" i="2"/>
  <c r="W19" i="2"/>
  <c r="U20" i="2"/>
  <c r="V20" i="2"/>
  <c r="W20" i="2"/>
  <c r="S6" i="2"/>
  <c r="S7" i="2"/>
  <c r="S8" i="2"/>
  <c r="S9" i="2"/>
  <c r="S10" i="2"/>
  <c r="S11" i="2"/>
  <c r="S12" i="2"/>
  <c r="S5" i="2"/>
  <c r="T12" i="2"/>
  <c r="X5" i="2"/>
  <c r="Y5" i="2"/>
  <c r="Z5" i="2"/>
  <c r="X6" i="2"/>
  <c r="Y6" i="2"/>
  <c r="Z6" i="2"/>
  <c r="X7" i="2"/>
  <c r="Y7" i="2"/>
  <c r="Z7" i="2"/>
  <c r="X8" i="2"/>
  <c r="Y8" i="2"/>
  <c r="Z8" i="2"/>
  <c r="X9" i="2"/>
  <c r="Y9" i="2"/>
  <c r="Z9" i="2"/>
  <c r="X10" i="2"/>
  <c r="Y10" i="2"/>
  <c r="Z10" i="2"/>
  <c r="X11" i="2"/>
  <c r="Y11" i="2"/>
  <c r="Z11" i="2"/>
  <c r="X12" i="2"/>
  <c r="Y12" i="2"/>
  <c r="Z12" i="2"/>
  <c r="U5" i="2"/>
  <c r="V5" i="2"/>
  <c r="W5" i="2"/>
  <c r="U6" i="2"/>
  <c r="V6" i="2"/>
  <c r="W6" i="2"/>
  <c r="U7" i="2"/>
  <c r="V7" i="2"/>
  <c r="W7" i="2"/>
  <c r="U8" i="2"/>
  <c r="V8" i="2"/>
  <c r="W8" i="2"/>
  <c r="U9" i="2"/>
  <c r="V9" i="2"/>
  <c r="W9" i="2"/>
  <c r="U10" i="2"/>
  <c r="V10" i="2"/>
  <c r="W10" i="2"/>
  <c r="U11" i="2"/>
  <c r="V11" i="2"/>
  <c r="W11" i="2"/>
  <c r="U12" i="2"/>
  <c r="V12" i="2"/>
  <c r="W12" i="2"/>
  <c r="M11" i="2"/>
  <c r="N11" i="2"/>
  <c r="O11" i="2"/>
  <c r="P11" i="2"/>
  <c r="Q11" i="2"/>
  <c r="R11" i="2"/>
  <c r="M12" i="2"/>
  <c r="N12" i="2"/>
  <c r="O12" i="2"/>
  <c r="P12" i="2"/>
  <c r="Q12" i="2"/>
  <c r="R12" i="2"/>
  <c r="M13" i="2"/>
  <c r="N13" i="2"/>
  <c r="O13" i="2"/>
  <c r="P13" i="2"/>
  <c r="Q13" i="2"/>
  <c r="R13" i="2"/>
  <c r="M14" i="2"/>
  <c r="N14" i="2"/>
  <c r="O14" i="2"/>
  <c r="P14" i="2"/>
  <c r="Q14" i="2"/>
  <c r="R14" i="2"/>
  <c r="M15" i="2"/>
  <c r="N15" i="2"/>
  <c r="O15" i="2"/>
  <c r="P15" i="2"/>
  <c r="Q15" i="2"/>
  <c r="R15" i="2"/>
  <c r="M16" i="2"/>
  <c r="N16" i="2"/>
  <c r="O16" i="2"/>
  <c r="P16" i="2"/>
  <c r="Q16" i="2"/>
  <c r="R16" i="2"/>
  <c r="M17" i="2"/>
  <c r="N17" i="2"/>
  <c r="O17" i="2"/>
  <c r="P17" i="2"/>
  <c r="Q17" i="2"/>
  <c r="R17" i="2"/>
  <c r="M18" i="2"/>
  <c r="N18" i="2"/>
  <c r="O18" i="2"/>
  <c r="P18" i="2"/>
  <c r="Q18" i="2"/>
  <c r="R18" i="2"/>
  <c r="M19" i="2"/>
  <c r="N19" i="2"/>
  <c r="O19" i="2"/>
  <c r="P19" i="2"/>
  <c r="Q19" i="2"/>
  <c r="R19" i="2"/>
  <c r="M20" i="2"/>
  <c r="N20" i="2"/>
  <c r="O20" i="2"/>
  <c r="P20" i="2"/>
  <c r="Q20" i="2"/>
  <c r="R20" i="2"/>
  <c r="R6" i="2"/>
  <c r="R7" i="2"/>
  <c r="R8" i="2"/>
  <c r="R9" i="2"/>
  <c r="R10" i="2"/>
  <c r="R5" i="2"/>
  <c r="Q10" i="2"/>
  <c r="P10" i="2"/>
  <c r="O10" i="2"/>
  <c r="N10" i="2"/>
  <c r="M10" i="2"/>
  <c r="Q9" i="2"/>
  <c r="P9" i="2"/>
  <c r="O9" i="2"/>
  <c r="N9" i="2"/>
  <c r="M9" i="2"/>
  <c r="Q8" i="2"/>
  <c r="P8" i="2"/>
  <c r="O8" i="2"/>
  <c r="N8" i="2"/>
  <c r="M8" i="2"/>
  <c r="Q7" i="2"/>
  <c r="P7" i="2"/>
  <c r="O7" i="2"/>
  <c r="N7" i="2"/>
  <c r="M7" i="2"/>
  <c r="Q6" i="2"/>
  <c r="P6" i="2"/>
  <c r="O6" i="2"/>
  <c r="N6" i="2"/>
  <c r="M6" i="2"/>
  <c r="Q5" i="2"/>
  <c r="P5" i="2"/>
  <c r="O5" i="2"/>
  <c r="N5" i="2"/>
  <c r="M5" i="2"/>
  <c r="V10" i="5" l="1"/>
  <c r="W19" i="5"/>
  <c r="W8" i="5"/>
  <c r="W10" i="5"/>
  <c r="U14" i="5"/>
  <c r="U16" i="5"/>
  <c r="X19" i="5"/>
  <c r="Y6" i="5"/>
  <c r="X8" i="5"/>
  <c r="V16" i="5"/>
  <c r="Y19" i="5"/>
  <c r="U5" i="5"/>
  <c r="W14" i="5"/>
  <c r="W16" i="5"/>
  <c r="Z19" i="5"/>
  <c r="V8" i="5"/>
  <c r="Z8" i="5"/>
  <c r="Y12" i="5"/>
  <c r="X14" i="5"/>
  <c r="U20" i="5"/>
  <c r="U8" i="5"/>
  <c r="W12" i="5"/>
  <c r="U9" i="5"/>
  <c r="U11" i="5"/>
  <c r="Y14" i="5"/>
  <c r="V20" i="5"/>
  <c r="U10" i="5"/>
  <c r="V9" i="5"/>
  <c r="Z14" i="5"/>
  <c r="W20" i="5"/>
  <c r="Y11" i="5"/>
  <c r="W7" i="5"/>
  <c r="W9" i="5"/>
  <c r="U15" i="5"/>
  <c r="T15" i="5" s="1"/>
  <c r="X20" i="5"/>
  <c r="X9" i="5"/>
  <c r="V15" i="5"/>
  <c r="U17" i="5"/>
  <c r="Y18" i="5"/>
  <c r="Y20" i="5"/>
  <c r="W5" i="5"/>
  <c r="Y7" i="5"/>
  <c r="Y9" i="5"/>
  <c r="W13" i="5"/>
  <c r="W15" i="5"/>
  <c r="Z18" i="5"/>
  <c r="Z20" i="5"/>
  <c r="T8" i="5"/>
  <c r="V5" i="5"/>
  <c r="Z9" i="5"/>
  <c r="V11" i="5"/>
  <c r="X16" i="5"/>
  <c r="Y10" i="5"/>
  <c r="Y5" i="5"/>
  <c r="V6" i="5"/>
  <c r="Z10" i="5"/>
  <c r="X11" i="5"/>
  <c r="V12" i="5"/>
  <c r="Z16" i="5"/>
  <c r="X17" i="5"/>
  <c r="V18" i="5"/>
  <c r="Z5" i="5"/>
  <c r="W6" i="5"/>
  <c r="U7" i="5"/>
  <c r="U13" i="5"/>
  <c r="Y17" i="5"/>
  <c r="W18" i="5"/>
  <c r="U19" i="5"/>
  <c r="X10" i="5"/>
  <c r="T10" i="5" s="1"/>
  <c r="Z15" i="5"/>
  <c r="U18" i="5"/>
  <c r="J6" i="5"/>
  <c r="X6" i="5"/>
  <c r="V7" i="5"/>
  <c r="Z11" i="5"/>
  <c r="X12" i="5"/>
  <c r="V13" i="5"/>
  <c r="Z17" i="5"/>
  <c r="X18" i="5"/>
  <c r="V19" i="5"/>
  <c r="Z6" i="5"/>
  <c r="X7" i="5"/>
  <c r="Z12" i="5"/>
  <c r="X13" i="5"/>
  <c r="V14" i="5"/>
  <c r="X5" i="5"/>
  <c r="T18" i="2"/>
  <c r="T17" i="2"/>
  <c r="J6" i="2"/>
  <c r="J5" i="2"/>
  <c r="T20" i="5" l="1"/>
  <c r="T7" i="5"/>
  <c r="T11" i="5"/>
  <c r="T9" i="5"/>
  <c r="T16" i="5"/>
  <c r="T14" i="5"/>
  <c r="T5" i="5"/>
  <c r="T17" i="5"/>
  <c r="S11" i="5"/>
  <c r="S9" i="5"/>
  <c r="S14" i="5"/>
  <c r="S5" i="5"/>
  <c r="T18" i="5"/>
  <c r="T12" i="5"/>
  <c r="T19" i="5"/>
  <c r="T6" i="5"/>
  <c r="T13" i="5"/>
  <c r="T15" i="2"/>
  <c r="T13" i="2"/>
  <c r="T19" i="2"/>
  <c r="T11" i="2"/>
  <c r="T10" i="2"/>
  <c r="T7" i="2"/>
  <c r="T16" i="2"/>
  <c r="T5" i="2"/>
  <c r="T8" i="2"/>
  <c r="T9" i="2"/>
  <c r="T6" i="2"/>
  <c r="T14" i="2"/>
  <c r="S6" i="5" l="1"/>
  <c r="S19" i="5"/>
  <c r="S13" i="5"/>
  <c r="S20" i="5"/>
  <c r="S12" i="5"/>
  <c r="S18" i="5"/>
  <c r="S8" i="5"/>
  <c r="S16" i="5"/>
  <c r="S10" i="5"/>
  <c r="S7" i="5"/>
  <c r="S15" i="5"/>
  <c r="S17" i="5"/>
</calcChain>
</file>

<file path=xl/sharedStrings.xml><?xml version="1.0" encoding="utf-8"?>
<sst xmlns="http://schemas.openxmlformats.org/spreadsheetml/2006/main" count="151" uniqueCount="47">
  <si>
    <t>ncohort</t>
  </si>
  <si>
    <t>utype</t>
  </si>
  <si>
    <t>rtype</t>
  </si>
  <si>
    <t>bd.sel</t>
  </si>
  <si>
    <t>od.sel</t>
  </si>
  <si>
    <t>bd.pts</t>
  </si>
  <si>
    <t>od.pts</t>
  </si>
  <si>
    <t>earlystop</t>
  </si>
  <si>
    <t>overdose</t>
  </si>
  <si>
    <t>poorall</t>
  </si>
  <si>
    <t>design</t>
  </si>
  <si>
    <t>utpi</t>
  </si>
  <si>
    <t>boinet</t>
  </si>
  <si>
    <t>tepi</t>
  </si>
  <si>
    <t>boin12</t>
  </si>
  <si>
    <t>ji3</t>
  </si>
  <si>
    <t>printe</t>
  </si>
  <si>
    <t>stein</t>
  </si>
  <si>
    <t>Grand Total</t>
  </si>
  <si>
    <t>Sum of bd.sel</t>
  </si>
  <si>
    <t>Sum of od.sel</t>
  </si>
  <si>
    <t>Sum of bd.pts</t>
  </si>
  <si>
    <t>Sum of poorall</t>
  </si>
  <si>
    <t>Sum of overdose</t>
  </si>
  <si>
    <t>uTPI</t>
  </si>
  <si>
    <t>BOIN-ET</t>
  </si>
  <si>
    <t>Joint3+3</t>
  </si>
  <si>
    <t>STEIN</t>
  </si>
  <si>
    <t>PRINTE</t>
  </si>
  <si>
    <t>TEPI</t>
  </si>
  <si>
    <t>BOIN12</t>
  </si>
  <si>
    <t>Sample Size</t>
  </si>
  <si>
    <t>Design</t>
  </si>
  <si>
    <t>OBD Sel%</t>
  </si>
  <si>
    <t>FD Sel%</t>
  </si>
  <si>
    <t>OBD Pts%</t>
  </si>
  <si>
    <t>Poor Pts%</t>
  </si>
  <si>
    <t>ov.sel</t>
  </si>
  <si>
    <t>Sum of ov.sel</t>
  </si>
  <si>
    <t>OV Pts%</t>
  </si>
  <si>
    <t>OV Sel%</t>
  </si>
  <si>
    <t>CompRank</t>
  </si>
  <si>
    <t>efftox</t>
  </si>
  <si>
    <t>EffTox</t>
  </si>
  <si>
    <t>$N$</t>
  </si>
  <si>
    <t>Utility structure $(w_{11}, w_{00}) = (0.6, 0.4)$.</t>
  </si>
  <si>
    <t>\textit{Utility structure $(w_{11}, w_{00}) = (1, 0)$.}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</si>
</sst>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2" fontId="18" fillId="0" borderId="0" xfId="0" applyNumberFormat="1" applyFont="1"/>
    <xf numFmtId="0" fontId="18" fillId="0" borderId="0" xfId="0" applyFont="1"/>
    <xf numFmtId="2" fontId="19" fillId="0" borderId="0" xfId="0" applyNumberFormat="1" applyFon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l" refreshedDate="44777.506061111111" createdVersion="8" refreshedVersion="8" minRefreshableVersion="3" recordCount="33" xr:uid="{C2DC8B8B-59EB-4EBF-A130-C0BF85A17AAA}">
  <cacheSource type="worksheet">
    <worksheetSource ref="A1:L513" sheet="simres.csv"/>
  </cacheSource>
  <cacheFields count="12">
    <cacheField name="ncohort" numFmtId="0">
      <sharedItems containsString="0" containsBlank="1" containsNumber="1" containsInteger="1" minValue="12" maxValue="18" count="3">
        <n v="12"/>
        <n v="18"/>
        <m/>
      </sharedItems>
    </cacheField>
    <cacheField name="utype" numFmtId="0">
      <sharedItems containsString="0" containsBlank="1" containsNumber="1" containsInteger="1" minValue="1" maxValue="2" count="3">
        <n v="1"/>
        <n v="2"/>
        <m/>
      </sharedItems>
    </cacheField>
    <cacheField name="rtype" numFmtId="0">
      <sharedItems containsString="0" containsBlank="1" containsNumber="1" containsInteger="1" minValue="1" maxValue="1" count="2">
        <n v="1"/>
        <m/>
      </sharedItems>
    </cacheField>
    <cacheField name="bd.sel" numFmtId="0">
      <sharedItems containsString="0" containsBlank="1" containsNumber="1" minValue="35.480000000000103" maxValue="48.847999999998798"/>
    </cacheField>
    <cacheField name="od.sel" numFmtId="0">
      <sharedItems containsString="0" containsBlank="1" containsNumber="1" minValue="47.720000000000198" maxValue="67.280000000000499"/>
    </cacheField>
    <cacheField name="bd.pts" numFmtId="0">
      <sharedItems containsString="0" containsBlank="1" containsNumber="1" minValue="27.8808333333311" maxValue="40.566222222222102"/>
    </cacheField>
    <cacheField name="od.pts" numFmtId="0">
      <sharedItems containsString="0" containsBlank="1" containsNumber="1" minValue="43.196666666666701" maxValue="57.520000000000302"/>
    </cacheField>
    <cacheField name="earlystop" numFmtId="0">
      <sharedItems containsString="0" containsBlank="1" containsNumber="1" minValue="1.472" maxValue="6.2"/>
    </cacheField>
    <cacheField name="overdose" numFmtId="0">
      <sharedItems containsString="0" containsBlank="1" containsNumber="1" minValue="1.66444444444444" maxValue="9.5233333333333405"/>
    </cacheField>
    <cacheField name="poorall" numFmtId="0">
      <sharedItems containsString="0" containsBlank="1" containsNumber="1" minValue="36.8560000000004" maxValue="58.840000000000401"/>
    </cacheField>
    <cacheField name="ov.sel" numFmtId="0">
      <sharedItems containsString="0" containsBlank="1" containsNumber="1" minValue="0.36" maxValue="6.24"/>
    </cacheField>
    <cacheField name="design" numFmtId="0">
      <sharedItems containsBlank="1" count="9">
        <s v="utpi"/>
        <s v="boinet"/>
        <s v="efftox"/>
        <s v="tepi"/>
        <s v="boin12"/>
        <s v="ji3"/>
        <s v="printe"/>
        <s v="ste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n v="45.409999999999201"/>
    <n v="60.111999999999597"/>
    <n v="37.305166666664803"/>
    <n v="52.071666666665401"/>
    <n v="1.9359999999999999"/>
    <n v="3.67466666666671"/>
    <n v="42.436"/>
    <n v="0.63"/>
    <x v="0"/>
  </r>
  <r>
    <x v="1"/>
    <x v="0"/>
    <x v="0"/>
    <n v="48.1359999999992"/>
    <n v="63.397999999999897"/>
    <n v="40.501777777777399"/>
    <n v="55.549555555556402"/>
    <n v="2.54"/>
    <n v="2.9887777777778402"/>
    <n v="43.107999999999599"/>
    <n v="0.40799999999999997"/>
    <x v="0"/>
  </r>
  <r>
    <x v="0"/>
    <x v="1"/>
    <x v="0"/>
    <n v="43.811999999999401"/>
    <n v="58.772000000000702"/>
    <n v="36.600833333331103"/>
    <n v="50.831666666666699"/>
    <n v="1.81"/>
    <n v="3.8008333333333901"/>
    <n v="48.353999999999502"/>
    <n v="1.482"/>
    <x v="0"/>
  </r>
  <r>
    <x v="1"/>
    <x v="1"/>
    <x v="0"/>
    <n v="46.037999999999101"/>
    <n v="61.294000000000501"/>
    <n v="39.383555555555297"/>
    <n v="54.087777777779898"/>
    <n v="2.2839999999999998"/>
    <n v="3.16666666666673"/>
    <n v="47.289999999999502"/>
    <n v="1.054"/>
    <x v="0"/>
  </r>
  <r>
    <x v="0"/>
    <x v="0"/>
    <x v="0"/>
    <n v="44.197999999999297"/>
    <n v="58.7239999999994"/>
    <n v="37.636833333330998"/>
    <n v="52.258166666664998"/>
    <n v="2.2240000000000002"/>
    <n v="3.8928333333333902"/>
    <n v="47.589999999999101"/>
    <n v="0.58799999999999997"/>
    <x v="1"/>
  </r>
  <r>
    <x v="1"/>
    <x v="0"/>
    <x v="0"/>
    <n v="46.5079999999992"/>
    <n v="61.291999999999298"/>
    <n v="40.566222222222102"/>
    <n v="55.386444444445097"/>
    <n v="2.774"/>
    <n v="3.4104444444444999"/>
    <n v="45.9039999999994"/>
    <n v="0.36"/>
    <x v="1"/>
  </r>
  <r>
    <x v="0"/>
    <x v="1"/>
    <x v="0"/>
    <n v="43.635999999999498"/>
    <n v="58.756000000000299"/>
    <n v="36.544166666664402"/>
    <n v="51.151833333333201"/>
    <n v="2.1160000000000001"/>
    <n v="4.0750000000000597"/>
    <n v="48.873999999998901"/>
    <n v="1.6419999999999899"/>
    <x v="1"/>
  </r>
  <r>
    <x v="1"/>
    <x v="1"/>
    <x v="0"/>
    <n v="45.801999999999403"/>
    <n v="61.800000000000097"/>
    <n v="39.336111111110903"/>
    <n v="54.918666666668898"/>
    <n v="2.7480000000000002"/>
    <n v="3.3865555555556202"/>
    <n v="46.931999999999199"/>
    <n v="1.0920000000000001"/>
    <x v="1"/>
  </r>
  <r>
    <x v="0"/>
    <x v="0"/>
    <x v="0"/>
    <n v="35.480000000000103"/>
    <n v="47.720000000000198"/>
    <n v="31.45"/>
    <n v="43.196666666666701"/>
    <n v="4.4800000000000004"/>
    <n v="2.5533333333333301"/>
    <n v="58.840000000000401"/>
    <n v="1.56"/>
    <x v="2"/>
  </r>
  <r>
    <x v="1"/>
    <x v="0"/>
    <x v="0"/>
    <n v="37.480000000000103"/>
    <n v="50.560000000000201"/>
    <n v="33.037777777777897"/>
    <n v="46.217777777777897"/>
    <n v="5.68"/>
    <n v="1.66444444444444"/>
    <n v="57.720000000000297"/>
    <n v="0.52"/>
    <x v="2"/>
  </r>
  <r>
    <x v="0"/>
    <x v="1"/>
    <x v="0"/>
    <n v="43.6400000000001"/>
    <n v="62.200000000000301"/>
    <n v="34.14"/>
    <n v="53.443333333333399"/>
    <n v="5.64"/>
    <n v="9.5233333333333405"/>
    <n v="50.400000000000198"/>
    <n v="6.24"/>
    <x v="2"/>
  </r>
  <r>
    <x v="1"/>
    <x v="1"/>
    <x v="0"/>
    <n v="44.160000000000103"/>
    <n v="64.840000000000401"/>
    <n v="36.973333333333599"/>
    <n v="57.520000000000302"/>
    <n v="6.2"/>
    <n v="7.9199999999999697"/>
    <n v="48.6400000000002"/>
    <n v="3.68"/>
    <x v="2"/>
  </r>
  <r>
    <x v="0"/>
    <x v="0"/>
    <x v="0"/>
    <n v="43.5379999999993"/>
    <n v="59.4399999999982"/>
    <n v="27.8808333333311"/>
    <n v="43.270166666664899"/>
    <n v="2.548"/>
    <n v="7.2291666666666803"/>
    <n v="55.083999999998099"/>
    <n v="0.91"/>
    <x v="3"/>
  </r>
  <r>
    <x v="1"/>
    <x v="0"/>
    <x v="0"/>
    <n v="45.641999999999101"/>
    <n v="62.077999999998397"/>
    <n v="30.521222222220299"/>
    <n v="46.082111111110002"/>
    <n v="3.3119999999999998"/>
    <n v="6.9010000000002201"/>
    <n v="55.853999999998898"/>
    <n v="0.53800000000000003"/>
    <x v="3"/>
  </r>
  <r>
    <x v="0"/>
    <x v="1"/>
    <x v="0"/>
    <n v="43.827999999999903"/>
    <n v="62.449999999999598"/>
    <n v="28.879666666664502"/>
    <n v="50.371999999998501"/>
    <n v="2.456"/>
    <n v="7.2851666666667096"/>
    <n v="53.151999999998402"/>
    <n v="2.01399999999999"/>
    <x v="3"/>
  </r>
  <r>
    <x v="1"/>
    <x v="1"/>
    <x v="0"/>
    <n v="46.061999999999401"/>
    <n v="65.215999999999497"/>
    <n v="31.954222222220199"/>
    <n v="55.198333333333103"/>
    <n v="3.0419999999999998"/>
    <n v="6.9598888888891199"/>
    <n v="53.491999999999202"/>
    <n v="1.4319999999999999"/>
    <x v="3"/>
  </r>
  <r>
    <x v="0"/>
    <x v="0"/>
    <x v="0"/>
    <n v="44.969999999998997"/>
    <n v="60.749999999999297"/>
    <n v="35.510666666664697"/>
    <n v="50.7191666666656"/>
    <n v="2.1259999999999999"/>
    <n v="3.7891666666667501"/>
    <n v="40.929999999999701"/>
    <n v="0.84799999999999998"/>
    <x v="4"/>
  </r>
  <r>
    <x v="1"/>
    <x v="0"/>
    <x v="0"/>
    <n v="48.847999999998798"/>
    <n v="64.83"/>
    <n v="38.730444444444402"/>
    <n v="53.773333333333497"/>
    <n v="3.448"/>
    <n v="3.1225555555556599"/>
    <n v="37.481999999999601"/>
    <n v="0.66400000000000003"/>
    <x v="4"/>
  </r>
  <r>
    <x v="0"/>
    <x v="1"/>
    <x v="0"/>
    <n v="45.3299999999996"/>
    <n v="64.152000000000001"/>
    <n v="34.586833333331299"/>
    <n v="51.647499999999702"/>
    <n v="1.9079999999999999"/>
    <n v="5.1121666666667798"/>
    <n v="39.110000000000198"/>
    <n v="2.3879999999999799"/>
    <x v="4"/>
  </r>
  <r>
    <x v="1"/>
    <x v="1"/>
    <x v="0"/>
    <n v="47.979999999999002"/>
    <n v="67.280000000000499"/>
    <n v="37.5562222222214"/>
    <n v="54.482555555556203"/>
    <n v="3"/>
    <n v="4.07488888888905"/>
    <n v="36.8560000000004"/>
    <n v="1.76199999999999"/>
    <x v="4"/>
  </r>
  <r>
    <x v="0"/>
    <x v="0"/>
    <x v="0"/>
    <n v="44.247999999999202"/>
    <n v="58.931999999999"/>
    <n v="36.881666666664401"/>
    <n v="51.790166666665201"/>
    <n v="1.472"/>
    <n v="4.9146666666667196"/>
    <n v="47.685999999999098"/>
    <n v="0.72199999999999998"/>
    <x v="5"/>
  </r>
  <r>
    <x v="1"/>
    <x v="0"/>
    <x v="0"/>
    <n v="46.463999999999103"/>
    <n v="61.799999999998903"/>
    <n v="39.7316666666663"/>
    <n v="54.992666666666899"/>
    <n v="2.0099999999999998"/>
    <n v="4.3657777777778604"/>
    <n v="45.823999999999501"/>
    <n v="0.44600000000000001"/>
    <x v="5"/>
  </r>
  <r>
    <x v="0"/>
    <x v="1"/>
    <x v="0"/>
    <n v="43.739999999999803"/>
    <n v="59.8719999999999"/>
    <n v="36.171999999997901"/>
    <n v="51.811500000000002"/>
    <n v="1.482"/>
    <n v="5.0973333333333901"/>
    <n v="48.209999999998999"/>
    <n v="1.68799999999999"/>
    <x v="5"/>
  </r>
  <r>
    <x v="1"/>
    <x v="1"/>
    <x v="0"/>
    <n v="45.841999999999402"/>
    <n v="62.937999999999697"/>
    <n v="38.781666666666403"/>
    <n v="55.7395555555577"/>
    <n v="2"/>
    <n v="4.4823333333334201"/>
    <n v="46.617999999999299"/>
    <n v="1.21"/>
    <x v="5"/>
  </r>
  <r>
    <x v="0"/>
    <x v="0"/>
    <x v="0"/>
    <n v="43.095999999999201"/>
    <n v="57.381999999999699"/>
    <n v="35.130833333331402"/>
    <n v="48.368666666665199"/>
    <n v="2.6219999999999999"/>
    <n v="2.6778333333333402"/>
    <n v="50.145999999999397"/>
    <n v="0.55800000000000005"/>
    <x v="6"/>
  </r>
  <r>
    <x v="1"/>
    <x v="0"/>
    <x v="0"/>
    <n v="45.125999999999202"/>
    <n v="59.989999999999597"/>
    <n v="37.941888888888499"/>
    <n v="51.744222222222596"/>
    <n v="3.4279999999999999"/>
    <n v="2.5346666666666899"/>
    <n v="48.331999999998999"/>
    <n v="0.40600000000000003"/>
    <x v="6"/>
  </r>
  <r>
    <x v="0"/>
    <x v="1"/>
    <x v="0"/>
    <n v="42.7599999999996"/>
    <n v="57.924000000000497"/>
    <n v="34.627166666664699"/>
    <n v="47.886000000000003"/>
    <n v="2.6360000000000001"/>
    <n v="2.7228333333333401"/>
    <n v="50.661999999999303"/>
    <n v="1.4379999999999999"/>
    <x v="6"/>
  </r>
  <r>
    <x v="1"/>
    <x v="1"/>
    <x v="0"/>
    <n v="44.959999999999503"/>
    <n v="60.698000000000199"/>
    <n v="37.281444444443999"/>
    <n v="51.760444444446399"/>
    <n v="3.23"/>
    <n v="2.5522222222222499"/>
    <n v="48.793999999998903"/>
    <n v="1.1180000000000001"/>
    <x v="6"/>
  </r>
  <r>
    <x v="0"/>
    <x v="0"/>
    <x v="0"/>
    <n v="43.191999999999297"/>
    <n v="57.122000000000199"/>
    <n v="35.681833333331397"/>
    <n v="48.694333333332203"/>
    <n v="3.3039999999999998"/>
    <n v="1.97966666666666"/>
    <n v="48.976000000000397"/>
    <n v="0.59399999999999997"/>
    <x v="7"/>
  </r>
  <r>
    <x v="1"/>
    <x v="0"/>
    <x v="0"/>
    <n v="45.621999999999296"/>
    <n v="60.236000000000203"/>
    <n v="38.630999999999801"/>
    <n v="52.375555555556502"/>
    <n v="4.6260000000000003"/>
    <n v="1.76233333333334"/>
    <n v="46.360000000000198"/>
    <n v="0.38200000000000001"/>
    <x v="7"/>
  </r>
  <r>
    <x v="0"/>
    <x v="1"/>
    <x v="0"/>
    <n v="42.521999999999302"/>
    <n v="56.090000000000899"/>
    <n v="34.681833333331497"/>
    <n v="46.420833333333597"/>
    <n v="3.1960000000000002"/>
    <n v="2.0248333333333299"/>
    <n v="50.384000000000299"/>
    <n v="1.208"/>
    <x v="7"/>
  </r>
  <r>
    <x v="1"/>
    <x v="1"/>
    <x v="0"/>
    <n v="44.825999999998999"/>
    <n v="58.8940000000011"/>
    <n v="37.330888888888701"/>
    <n v="49.7812222222245"/>
    <n v="4.3979999999999997"/>
    <n v="1.77922222222224"/>
    <n v="48.086000000000098"/>
    <n v="1.03"/>
    <x v="7"/>
  </r>
  <r>
    <x v="2"/>
    <x v="2"/>
    <x v="1"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0A60-9E24-4EC8-A1BF-D64EAFBE869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21" firstHeaderRow="0" firstDataRow="1" firstDataCol="2" rowPageCount="2" colPageCount="1"/>
  <pivotFields count="12">
    <pivotField axis="axisRow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9">
        <item x="0"/>
        <item x="1"/>
        <item x="5"/>
        <item x="7"/>
        <item x="6"/>
        <item x="3"/>
        <item x="4"/>
        <item x="8"/>
        <item x="2"/>
      </items>
    </pivotField>
  </pivotFields>
  <rowFields count="2">
    <field x="0"/>
    <field x="11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1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EFC68-4F4E-4BB5-8CE9-F82E6F6929A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21" firstHeaderRow="0" firstDataRow="1" firstDataCol="2" rowPageCount="2" colPageCount="1"/>
  <pivotFields count="12">
    <pivotField axis="axisRow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9">
        <item x="0"/>
        <item x="1"/>
        <item x="5"/>
        <item x="7"/>
        <item x="6"/>
        <item x="3"/>
        <item x="4"/>
        <item x="8"/>
        <item x="2"/>
      </items>
    </pivotField>
  </pivotFields>
  <rowFields count="2">
    <field x="0"/>
    <field x="11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92ECB-B51B-421B-B85E-9E7044339368}">
  <dimension ref="A2:I39"/>
  <sheetViews>
    <sheetView tabSelected="1" topLeftCell="A21" workbookViewId="0">
      <selection activeCell="A23" sqref="A23:I39"/>
    </sheetView>
  </sheetViews>
  <sheetFormatPr defaultRowHeight="14.75"/>
  <sheetData>
    <row r="2" spans="1:9">
      <c r="A2" t="s">
        <v>44</v>
      </c>
      <c r="B2" t="str">
        <f>efficacy!L4</f>
        <v>Design</v>
      </c>
      <c r="C2" t="str">
        <f>efficacy!M4</f>
        <v>OBD Sel%</v>
      </c>
      <c r="D2" t="str">
        <f>efficacy!N4</f>
        <v>FD Sel%</v>
      </c>
      <c r="E2" t="str">
        <f>efficacy!O4</f>
        <v>OBD Pts%</v>
      </c>
      <c r="F2" t="str">
        <f>efficacy!P4</f>
        <v>Poor Pts%</v>
      </c>
      <c r="G2" t="str">
        <f>efficacy!Q4</f>
        <v>OV Pts%</v>
      </c>
      <c r="H2" t="str">
        <f>efficacy!R4</f>
        <v>OV Sel%</v>
      </c>
      <c r="I2" t="str">
        <f>efficacy!S4</f>
        <v>CompRank</v>
      </c>
    </row>
    <row r="3" spans="1:9">
      <c r="A3" s="8" t="s">
        <v>46</v>
      </c>
      <c r="B3" s="8"/>
      <c r="C3" s="8"/>
      <c r="D3" s="8"/>
      <c r="E3" s="8"/>
      <c r="F3" s="8"/>
      <c r="G3" s="8"/>
      <c r="H3" s="8"/>
      <c r="I3" s="8"/>
    </row>
    <row r="4" spans="1:9">
      <c r="A4">
        <v>36</v>
      </c>
      <c r="B4" t="str">
        <f>efficacy!L5</f>
        <v>uTPI</v>
      </c>
      <c r="C4" s="5">
        <f>efficacy!M5</f>
        <v>43.811999999999401</v>
      </c>
      <c r="D4" s="5">
        <f>efficacy!N5</f>
        <v>58.772000000000702</v>
      </c>
      <c r="E4" s="7">
        <f>efficacy!O5</f>
        <v>36.600833333331103</v>
      </c>
      <c r="F4" s="5">
        <f>efficacy!P5</f>
        <v>48.353999999999502</v>
      </c>
      <c r="G4" s="5">
        <f>efficacy!Q5</f>
        <v>3.8008333333333901</v>
      </c>
      <c r="H4" s="5">
        <f>efficacy!R5</f>
        <v>1.482</v>
      </c>
      <c r="I4" t="str">
        <f>efficacy!S5 &amp; " ("&amp;TEXT(efficacy!T5,"0.00")&amp;")"</f>
        <v>1 (3.00)</v>
      </c>
    </row>
    <row r="5" spans="1:9">
      <c r="B5" t="str">
        <f>efficacy!L6</f>
        <v>BOIN-ET</v>
      </c>
      <c r="C5" s="5">
        <f>efficacy!M6</f>
        <v>43.635999999999498</v>
      </c>
      <c r="D5" s="5">
        <f>efficacy!N6</f>
        <v>58.756000000000299</v>
      </c>
      <c r="E5" s="5">
        <f>efficacy!O6</f>
        <v>36.544166666664402</v>
      </c>
      <c r="F5" s="5">
        <f>efficacy!P6</f>
        <v>48.873999999998901</v>
      </c>
      <c r="G5" s="5">
        <f>efficacy!Q6</f>
        <v>4.0750000000000597</v>
      </c>
      <c r="H5" s="5">
        <f>efficacy!R6</f>
        <v>1.6419999999999899</v>
      </c>
      <c r="I5" t="str">
        <f>efficacy!S6 &amp; " ("&amp;TEXT(efficacy!T6,"0.00")&amp;")"</f>
        <v>4 (4.33)</v>
      </c>
    </row>
    <row r="6" spans="1:9">
      <c r="B6" t="str">
        <f>efficacy!L7</f>
        <v>Joint3+3</v>
      </c>
      <c r="C6" s="5">
        <f>efficacy!M7</f>
        <v>43.739999999999803</v>
      </c>
      <c r="D6" s="5">
        <f>efficacy!N7</f>
        <v>59.8719999999999</v>
      </c>
      <c r="E6" s="5">
        <f>efficacy!O7</f>
        <v>36.171999999997901</v>
      </c>
      <c r="F6" s="5">
        <f>efficacy!P7</f>
        <v>48.209999999998999</v>
      </c>
      <c r="G6" s="5">
        <f>efficacy!Q7</f>
        <v>5.0973333333333901</v>
      </c>
      <c r="H6" s="5">
        <f>efficacy!R7</f>
        <v>1.68799999999999</v>
      </c>
      <c r="I6" t="str">
        <f>efficacy!S7 &amp; " ("&amp;TEXT(efficacy!T7,"0.00")&amp;")"</f>
        <v>3 (3.83)</v>
      </c>
    </row>
    <row r="7" spans="1:9">
      <c r="B7" t="str">
        <f>efficacy!L8</f>
        <v>STEIN</v>
      </c>
      <c r="C7" s="5">
        <f>efficacy!M8</f>
        <v>42.521999999999302</v>
      </c>
      <c r="D7" s="5">
        <f>efficacy!N8</f>
        <v>56.090000000000899</v>
      </c>
      <c r="E7" s="5">
        <f>efficacy!O8</f>
        <v>34.681833333331497</v>
      </c>
      <c r="F7" s="5">
        <f>efficacy!P8</f>
        <v>50.384000000000299</v>
      </c>
      <c r="G7" s="7">
        <f>efficacy!Q8</f>
        <v>2.0248333333333299</v>
      </c>
      <c r="H7" s="7">
        <f>efficacy!R8</f>
        <v>1.208</v>
      </c>
      <c r="I7" t="str">
        <f>efficacy!S8 &amp; " ("&amp;TEXT(efficacy!T8,"0.00")&amp;")"</f>
        <v>5 (4.50)</v>
      </c>
    </row>
    <row r="8" spans="1:9">
      <c r="B8" t="str">
        <f>efficacy!L9</f>
        <v>PRINTE</v>
      </c>
      <c r="C8" s="5">
        <f>efficacy!M9</f>
        <v>42.7599999999996</v>
      </c>
      <c r="D8" s="5">
        <f>efficacy!N9</f>
        <v>57.924000000000497</v>
      </c>
      <c r="E8" s="5">
        <f>efficacy!O9</f>
        <v>34.627166666664699</v>
      </c>
      <c r="F8" s="5">
        <f>efficacy!P9</f>
        <v>50.661999999999303</v>
      </c>
      <c r="G8" s="5">
        <f>efficacy!Q9</f>
        <v>2.7228333333333401</v>
      </c>
      <c r="H8" s="5">
        <f>efficacy!R9</f>
        <v>1.4379999999999999</v>
      </c>
      <c r="I8" t="str">
        <f>efficacy!S9 &amp; " ("&amp;TEXT(efficacy!T9,"0.00")&amp;")"</f>
        <v>6 (5.00)</v>
      </c>
    </row>
    <row r="9" spans="1:9">
      <c r="B9" t="str">
        <f>efficacy!L10</f>
        <v>TEPI</v>
      </c>
      <c r="C9" s="5">
        <f>efficacy!M10</f>
        <v>43.827999999999903</v>
      </c>
      <c r="D9" s="5">
        <f>efficacy!N10</f>
        <v>62.449999999999598</v>
      </c>
      <c r="E9" s="5">
        <f>efficacy!O10</f>
        <v>28.879666666664502</v>
      </c>
      <c r="F9" s="5">
        <f>efficacy!P10</f>
        <v>53.151999999998402</v>
      </c>
      <c r="G9" s="5">
        <f>efficacy!Q10</f>
        <v>7.2851666666667096</v>
      </c>
      <c r="H9" s="5">
        <f>efficacy!R10</f>
        <v>2.01399999999999</v>
      </c>
      <c r="I9" t="str">
        <f>efficacy!S10 &amp; " ("&amp;TEXT(efficacy!T10,"0.00")&amp;")"</f>
        <v>7 (5.50)</v>
      </c>
    </row>
    <row r="10" spans="1:9">
      <c r="B10" t="str">
        <f>efficacy!L11</f>
        <v>BOIN12</v>
      </c>
      <c r="C10" s="7">
        <f>efficacy!M11</f>
        <v>45.3299999999996</v>
      </c>
      <c r="D10" s="7">
        <f>efficacy!N11</f>
        <v>64.152000000000001</v>
      </c>
      <c r="E10" s="5">
        <f>efficacy!O11</f>
        <v>34.586833333331299</v>
      </c>
      <c r="F10" s="7">
        <f>efficacy!P11</f>
        <v>39.110000000000198</v>
      </c>
      <c r="G10" s="5">
        <f>efficacy!Q11</f>
        <v>5.1121666666667798</v>
      </c>
      <c r="H10" s="5">
        <f>efficacy!R11</f>
        <v>2.3879999999999799</v>
      </c>
      <c r="I10" t="str">
        <f>efficacy!S11 &amp; " ("&amp;TEXT(efficacy!T11,"0.00")&amp;")"</f>
        <v>2 (3.67)</v>
      </c>
    </row>
    <row r="11" spans="1:9">
      <c r="B11" t="str">
        <f>efficacy!L12</f>
        <v>EffTox</v>
      </c>
      <c r="C11" s="5">
        <f>efficacy!M12</f>
        <v>43.6400000000001</v>
      </c>
      <c r="D11" s="5">
        <f>efficacy!N12</f>
        <v>62.200000000000301</v>
      </c>
      <c r="E11" s="5">
        <f>efficacy!O12</f>
        <v>34.14</v>
      </c>
      <c r="F11" s="5">
        <f>efficacy!P12</f>
        <v>50.400000000000198</v>
      </c>
      <c r="G11" s="5">
        <f>efficacy!Q12</f>
        <v>9.5233333333333405</v>
      </c>
      <c r="H11" s="5">
        <f>efficacy!R12</f>
        <v>6.24</v>
      </c>
      <c r="I11" t="str">
        <f>efficacy!S12 &amp; " ("&amp;TEXT(efficacy!T12,"0.00")&amp;")"</f>
        <v>8 (6.17)</v>
      </c>
    </row>
    <row r="12" spans="1:9">
      <c r="C12" s="5"/>
      <c r="D12" s="5"/>
      <c r="E12" s="5"/>
      <c r="F12" s="5"/>
      <c r="G12" s="5"/>
      <c r="H12" s="5"/>
    </row>
    <row r="13" spans="1:9">
      <c r="A13">
        <v>54</v>
      </c>
      <c r="B13" t="str">
        <f>efficacy!L13</f>
        <v>uTPI</v>
      </c>
      <c r="C13" s="5">
        <f>efficacy!M13</f>
        <v>46.037999999999101</v>
      </c>
      <c r="D13" s="5">
        <f>efficacy!N13</f>
        <v>61.294000000000501</v>
      </c>
      <c r="E13" s="7">
        <f>efficacy!O13</f>
        <v>39.383555555555297</v>
      </c>
      <c r="F13" s="5">
        <f>efficacy!P13</f>
        <v>47.289999999999502</v>
      </c>
      <c r="G13" s="5">
        <f>efficacy!Q13</f>
        <v>3.16666666666673</v>
      </c>
      <c r="H13" s="5">
        <f>efficacy!R13</f>
        <v>1.054</v>
      </c>
      <c r="I13" t="str">
        <f>efficacy!S13 &amp; " ("&amp;TEXT(efficacy!T13,"0.00")&amp;")"</f>
        <v>1 (3.17)</v>
      </c>
    </row>
    <row r="14" spans="1:9">
      <c r="B14" t="str">
        <f>efficacy!L14</f>
        <v>BOIN-ET</v>
      </c>
      <c r="C14" s="5">
        <f>efficacy!M14</f>
        <v>45.801999999999403</v>
      </c>
      <c r="D14" s="5">
        <f>efficacy!N14</f>
        <v>61.800000000000097</v>
      </c>
      <c r="E14" s="5">
        <f>efficacy!O14</f>
        <v>39.336111111110903</v>
      </c>
      <c r="F14" s="5">
        <f>efficacy!P14</f>
        <v>46.931999999999199</v>
      </c>
      <c r="G14" s="5">
        <f>efficacy!Q14</f>
        <v>3.3865555555556202</v>
      </c>
      <c r="H14" s="5">
        <f>efficacy!R14</f>
        <v>1.0920000000000001</v>
      </c>
      <c r="I14" t="str">
        <f>efficacy!S14 &amp; " ("&amp;TEXT(efficacy!T14,"0.00")&amp;")"</f>
        <v>3 (3.67)</v>
      </c>
    </row>
    <row r="15" spans="1:9">
      <c r="B15" t="str">
        <f>efficacy!L15</f>
        <v>Joint3+3</v>
      </c>
      <c r="C15" s="5">
        <f>efficacy!M15</f>
        <v>45.841999999999402</v>
      </c>
      <c r="D15" s="5">
        <f>efficacy!N15</f>
        <v>62.937999999999697</v>
      </c>
      <c r="E15" s="5">
        <f>efficacy!O15</f>
        <v>38.781666666666403</v>
      </c>
      <c r="F15" s="5">
        <f>efficacy!P15</f>
        <v>46.617999999999299</v>
      </c>
      <c r="G15" s="5">
        <f>efficacy!Q15</f>
        <v>4.4823333333334201</v>
      </c>
      <c r="H15" s="5">
        <f>efficacy!R15</f>
        <v>1.21</v>
      </c>
      <c r="I15" t="str">
        <f>efficacy!S15 &amp; " ("&amp;TEXT(efficacy!T15,"0.00")&amp;")"</f>
        <v>4 (4.00)</v>
      </c>
    </row>
    <row r="16" spans="1:9">
      <c r="B16" t="str">
        <f>efficacy!L16</f>
        <v>STEIN</v>
      </c>
      <c r="C16" s="5">
        <f>efficacy!M16</f>
        <v>44.825999999998999</v>
      </c>
      <c r="D16" s="5">
        <f>efficacy!N16</f>
        <v>58.8940000000011</v>
      </c>
      <c r="E16" s="5">
        <f>efficacy!O16</f>
        <v>37.330888888888701</v>
      </c>
      <c r="F16" s="5">
        <f>efficacy!P16</f>
        <v>48.086000000000098</v>
      </c>
      <c r="G16" s="7">
        <f>efficacy!Q16</f>
        <v>1.77922222222224</v>
      </c>
      <c r="H16" s="7">
        <f>efficacy!R16</f>
        <v>1.03</v>
      </c>
      <c r="I16" t="str">
        <f>efficacy!S16 &amp; " ("&amp;TEXT(efficacy!T16,"0.00")&amp;")"</f>
        <v>5 (4.50)</v>
      </c>
    </row>
    <row r="17" spans="1:9">
      <c r="B17" t="str">
        <f>efficacy!L17</f>
        <v>PRINTE</v>
      </c>
      <c r="C17" s="5">
        <f>efficacy!M17</f>
        <v>44.959999999999503</v>
      </c>
      <c r="D17" s="5">
        <f>efficacy!N17</f>
        <v>60.698000000000199</v>
      </c>
      <c r="E17" s="5">
        <f>efficacy!O17</f>
        <v>37.281444444443999</v>
      </c>
      <c r="F17" s="5">
        <f>efficacy!P17</f>
        <v>48.793999999998903</v>
      </c>
      <c r="G17" s="5">
        <f>efficacy!Q17</f>
        <v>2.5522222222222499</v>
      </c>
      <c r="H17" s="5">
        <f>efficacy!R17</f>
        <v>1.1180000000000001</v>
      </c>
      <c r="I17" t="str">
        <f>efficacy!S17 &amp; " ("&amp;TEXT(efficacy!T17,"0.00")&amp;")"</f>
        <v>6 (5.33)</v>
      </c>
    </row>
    <row r="18" spans="1:9">
      <c r="B18" t="str">
        <f>efficacy!L18</f>
        <v>TEPI</v>
      </c>
      <c r="C18" s="5">
        <f>efficacy!M18</f>
        <v>46.061999999999401</v>
      </c>
      <c r="D18" s="5">
        <f>efficacy!N18</f>
        <v>65.215999999999497</v>
      </c>
      <c r="E18" s="5">
        <f>efficacy!O18</f>
        <v>31.954222222220199</v>
      </c>
      <c r="F18" s="5">
        <f>efficacy!P18</f>
        <v>53.491999999999202</v>
      </c>
      <c r="G18" s="5">
        <f>efficacy!Q18</f>
        <v>6.9598888888891199</v>
      </c>
      <c r="H18" s="5">
        <f>efficacy!R18</f>
        <v>1.4319999999999999</v>
      </c>
      <c r="I18" t="str">
        <f>efficacy!S18 &amp; " ("&amp;TEXT(efficacy!T18,"0.00")&amp;")"</f>
        <v>7 (5.50)</v>
      </c>
    </row>
    <row r="19" spans="1:9">
      <c r="B19" t="str">
        <f>efficacy!L19</f>
        <v>BOIN12</v>
      </c>
      <c r="C19" s="7">
        <f>efficacy!M19</f>
        <v>47.979999999999002</v>
      </c>
      <c r="D19" s="7">
        <f>efficacy!N19</f>
        <v>67.280000000000499</v>
      </c>
      <c r="E19" s="5">
        <f>efficacy!O19</f>
        <v>37.5562222222214</v>
      </c>
      <c r="F19" s="7">
        <f>efficacy!P19</f>
        <v>36.8560000000004</v>
      </c>
      <c r="G19" s="5">
        <f>efficacy!Q19</f>
        <v>4.07488888888905</v>
      </c>
      <c r="H19" s="5">
        <f>efficacy!R19</f>
        <v>1.76199999999999</v>
      </c>
      <c r="I19" t="str">
        <f>efficacy!S19 &amp; " ("&amp;TEXT(efficacy!T19,"0.00")&amp;")"</f>
        <v>1 (3.17)</v>
      </c>
    </row>
    <row r="20" spans="1:9">
      <c r="B20" t="str">
        <f>efficacy!L20</f>
        <v>EffTox</v>
      </c>
      <c r="C20" s="5">
        <f>efficacy!M20</f>
        <v>44.160000000000103</v>
      </c>
      <c r="D20" s="5">
        <f>efficacy!N20</f>
        <v>64.840000000000401</v>
      </c>
      <c r="E20" s="5">
        <f>efficacy!O20</f>
        <v>36.973333333333599</v>
      </c>
      <c r="F20" s="5">
        <f>efficacy!P20</f>
        <v>48.6400000000002</v>
      </c>
      <c r="G20" s="5">
        <f>efficacy!Q20</f>
        <v>7.9199999999999697</v>
      </c>
      <c r="H20" s="5">
        <f>efficacy!R20</f>
        <v>3.68</v>
      </c>
      <c r="I20" t="str">
        <f>efficacy!S20 &amp; " ("&amp;TEXT(efficacy!T20,"0.00")&amp;")"</f>
        <v>8 (6.67)</v>
      </c>
    </row>
    <row r="22" spans="1:9">
      <c r="A22" s="8" t="s">
        <v>45</v>
      </c>
      <c r="B22" s="8"/>
      <c r="C22" s="8"/>
      <c r="D22" s="8"/>
      <c r="E22" s="8"/>
      <c r="F22" s="8"/>
      <c r="G22" s="8"/>
      <c r="H22" s="8"/>
      <c r="I22" s="8"/>
    </row>
    <row r="23" spans="1:9">
      <c r="A23">
        <v>36</v>
      </c>
      <c r="B23" t="str">
        <f>utility!L5</f>
        <v>uTPI</v>
      </c>
      <c r="C23" s="7">
        <f>utility!M5</f>
        <v>45.409999999999201</v>
      </c>
      <c r="D23" s="5">
        <f>utility!N5</f>
        <v>60.111999999999597</v>
      </c>
      <c r="E23" s="5">
        <f>utility!O5</f>
        <v>37.305166666664803</v>
      </c>
      <c r="F23" s="5">
        <f>utility!P5</f>
        <v>42.436</v>
      </c>
      <c r="G23" s="5">
        <f>utility!Q5</f>
        <v>3.67466666666671</v>
      </c>
      <c r="H23" s="5">
        <f>utility!R5</f>
        <v>0.63</v>
      </c>
      <c r="I23" t="str">
        <f>utility!S5 &amp; " ("&amp;TEXT(utility!T5,"0.00")&amp;")"</f>
        <v>1 (2.50)</v>
      </c>
    </row>
    <row r="24" spans="1:9">
      <c r="B24" t="str">
        <f>utility!L6</f>
        <v>BOIN-ET</v>
      </c>
      <c r="C24" s="5">
        <f>utility!M6</f>
        <v>44.197999999999297</v>
      </c>
      <c r="D24" s="5">
        <f>utility!N6</f>
        <v>58.7239999999994</v>
      </c>
      <c r="E24" s="7">
        <f>utility!O6</f>
        <v>37.636833333330998</v>
      </c>
      <c r="F24" s="5">
        <f>utility!P6</f>
        <v>47.589999999999101</v>
      </c>
      <c r="G24" s="5">
        <f>utility!Q6</f>
        <v>3.8928333333333902</v>
      </c>
      <c r="H24" s="5">
        <f>utility!R6</f>
        <v>0.58799999999999997</v>
      </c>
      <c r="I24" t="str">
        <f>utility!S6 &amp; " ("&amp;TEXT(utility!T6,"0.00")&amp;")"</f>
        <v>3 (3.50)</v>
      </c>
    </row>
    <row r="25" spans="1:9">
      <c r="B25" t="str">
        <f>utility!L7</f>
        <v>Joint3+3</v>
      </c>
      <c r="C25" s="5">
        <f>utility!M7</f>
        <v>44.247999999999202</v>
      </c>
      <c r="D25" s="5">
        <f>utility!N7</f>
        <v>58.931999999999</v>
      </c>
      <c r="E25" s="5">
        <f>utility!O7</f>
        <v>36.881666666664401</v>
      </c>
      <c r="F25" s="5">
        <f>utility!P7</f>
        <v>47.685999999999098</v>
      </c>
      <c r="G25" s="5">
        <f>utility!Q7</f>
        <v>4.9146666666667196</v>
      </c>
      <c r="H25" s="5">
        <f>utility!R7</f>
        <v>0.72199999999999998</v>
      </c>
      <c r="I25" t="str">
        <f>utility!S7 &amp; " ("&amp;TEXT(utility!T7,"0.00")&amp;")"</f>
        <v>4 (4.33)</v>
      </c>
    </row>
    <row r="26" spans="1:9">
      <c r="B26" t="str">
        <f>utility!L8</f>
        <v>STEIN</v>
      </c>
      <c r="C26" s="5">
        <f>utility!M8</f>
        <v>43.191999999999297</v>
      </c>
      <c r="D26" s="5">
        <f>utility!N8</f>
        <v>57.122000000000199</v>
      </c>
      <c r="E26" s="5">
        <f>utility!O8</f>
        <v>35.681833333331397</v>
      </c>
      <c r="F26" s="5">
        <f>utility!P8</f>
        <v>48.976000000000397</v>
      </c>
      <c r="G26" s="7">
        <f>utility!Q8</f>
        <v>1.97966666666666</v>
      </c>
      <c r="H26" s="5">
        <f>utility!R8</f>
        <v>0.59399999999999997</v>
      </c>
      <c r="I26" t="str">
        <f>utility!S8 &amp; " ("&amp;TEXT(utility!T8,"0.00")&amp;")"</f>
        <v>4 (4.33)</v>
      </c>
    </row>
    <row r="27" spans="1:9">
      <c r="B27" t="str">
        <f>utility!L9</f>
        <v>PRINTE</v>
      </c>
      <c r="C27" s="5">
        <f>utility!M9</f>
        <v>43.095999999999201</v>
      </c>
      <c r="D27" s="5">
        <f>utility!N9</f>
        <v>57.381999999999699</v>
      </c>
      <c r="E27" s="5">
        <f>utility!O9</f>
        <v>35.130833333331402</v>
      </c>
      <c r="F27" s="5">
        <f>utility!P9</f>
        <v>50.145999999999397</v>
      </c>
      <c r="G27" s="5">
        <f>utility!Q9</f>
        <v>2.6778333333333402</v>
      </c>
      <c r="H27" s="7">
        <f>utility!R9</f>
        <v>0.55800000000000005</v>
      </c>
      <c r="I27" t="str">
        <f>utility!S9 &amp; " ("&amp;TEXT(utility!T9,"0.00")&amp;")"</f>
        <v>6 (4.83)</v>
      </c>
    </row>
    <row r="28" spans="1:9">
      <c r="B28" t="str">
        <f>utility!L10</f>
        <v>TEPI</v>
      </c>
      <c r="C28" s="5">
        <f>utility!M10</f>
        <v>43.5379999999993</v>
      </c>
      <c r="D28" s="5">
        <f>utility!N10</f>
        <v>59.4399999999982</v>
      </c>
      <c r="E28" s="5">
        <f>utility!O10</f>
        <v>27.8808333333311</v>
      </c>
      <c r="F28" s="5">
        <f>utility!P10</f>
        <v>55.083999999998099</v>
      </c>
      <c r="G28" s="5">
        <f>utility!Q10</f>
        <v>7.2291666666666803</v>
      </c>
      <c r="H28" s="5">
        <f>utility!R10</f>
        <v>0.91</v>
      </c>
      <c r="I28" t="str">
        <f>utility!S10 &amp; " ("&amp;TEXT(utility!T10,"0.00")&amp;")"</f>
        <v>7 (6.33)</v>
      </c>
    </row>
    <row r="29" spans="1:9">
      <c r="B29" t="str">
        <f>utility!L11</f>
        <v>BOIN12</v>
      </c>
      <c r="C29" s="5">
        <f>utility!M11</f>
        <v>44.969999999998997</v>
      </c>
      <c r="D29" s="7">
        <f>utility!N11</f>
        <v>60.749999999999297</v>
      </c>
      <c r="E29" s="5">
        <f>utility!O11</f>
        <v>35.510666666664697</v>
      </c>
      <c r="F29" s="7">
        <f>utility!P11</f>
        <v>40.929999999999701</v>
      </c>
      <c r="G29" s="5">
        <f>utility!Q11</f>
        <v>3.7891666666667501</v>
      </c>
      <c r="H29" s="5">
        <f>utility!R11</f>
        <v>0.84799999999999998</v>
      </c>
      <c r="I29" t="str">
        <f>utility!S11 &amp; " ("&amp;TEXT(utility!T11,"0.00")&amp;")"</f>
        <v>2 (3.33)</v>
      </c>
    </row>
    <row r="30" spans="1:9">
      <c r="B30" t="str">
        <f>utility!L12</f>
        <v>EffTox</v>
      </c>
      <c r="C30" s="5">
        <f>utility!M12</f>
        <v>35.480000000000103</v>
      </c>
      <c r="D30" s="5">
        <f>utility!N12</f>
        <v>47.720000000000198</v>
      </c>
      <c r="E30" s="5">
        <f>utility!O12</f>
        <v>31.45</v>
      </c>
      <c r="F30" s="5">
        <f>utility!P12</f>
        <v>58.840000000000401</v>
      </c>
      <c r="G30" s="5">
        <f>utility!Q12</f>
        <v>2.5533333333333301</v>
      </c>
      <c r="H30" s="5">
        <f>utility!R12</f>
        <v>1.56</v>
      </c>
      <c r="I30" t="str">
        <f>utility!S12 &amp; " ("&amp;TEXT(utility!T12,"0.00")&amp;")"</f>
        <v>8 (6.83)</v>
      </c>
    </row>
    <row r="31" spans="1:9">
      <c r="C31" s="5"/>
      <c r="D31" s="5"/>
      <c r="E31" s="5"/>
      <c r="F31" s="5"/>
      <c r="G31" s="5"/>
      <c r="H31" s="5"/>
    </row>
    <row r="32" spans="1:9">
      <c r="A32">
        <v>54</v>
      </c>
      <c r="B32" t="str">
        <f>utility!L13</f>
        <v>uTPI</v>
      </c>
      <c r="C32" s="5">
        <f>utility!M13</f>
        <v>48.1359999999992</v>
      </c>
      <c r="D32" s="5">
        <f>utility!N13</f>
        <v>63.397999999999897</v>
      </c>
      <c r="E32" s="5">
        <f>utility!O13</f>
        <v>40.501777777777399</v>
      </c>
      <c r="F32" s="5">
        <f>utility!P13</f>
        <v>43.107999999999599</v>
      </c>
      <c r="G32" s="5">
        <f>utility!Q13</f>
        <v>2.9887777777778402</v>
      </c>
      <c r="H32" s="5">
        <f>utility!R13</f>
        <v>0.40799999999999997</v>
      </c>
      <c r="I32" t="str">
        <f>utility!S13 &amp; " ("&amp;TEXT(utility!T13,"0.00")&amp;")"</f>
        <v>1 (2.67)</v>
      </c>
    </row>
    <row r="33" spans="2:9">
      <c r="B33" t="str">
        <f>utility!L14</f>
        <v>BOIN-ET</v>
      </c>
      <c r="C33" s="5">
        <f>utility!M14</f>
        <v>46.5079999999992</v>
      </c>
      <c r="D33" s="5">
        <f>utility!N14</f>
        <v>61.291999999999298</v>
      </c>
      <c r="E33" s="7">
        <f>utility!O14</f>
        <v>40.566222222222102</v>
      </c>
      <c r="F33" s="5">
        <f>utility!P14</f>
        <v>45.9039999999994</v>
      </c>
      <c r="G33" s="5">
        <f>utility!Q14</f>
        <v>3.4104444444444999</v>
      </c>
      <c r="H33" s="7">
        <f>utility!R14</f>
        <v>0.36</v>
      </c>
      <c r="I33" t="str">
        <f>utility!S14 &amp; " ("&amp;TEXT(utility!T14,"0.00")&amp;")"</f>
        <v>2 (3.33)</v>
      </c>
    </row>
    <row r="34" spans="2:9">
      <c r="B34" t="str">
        <f>utility!L15</f>
        <v>Joint3+3</v>
      </c>
      <c r="C34" s="5">
        <f>utility!M15</f>
        <v>46.463999999999103</v>
      </c>
      <c r="D34" s="5">
        <f>utility!N15</f>
        <v>61.799999999998903</v>
      </c>
      <c r="E34" s="5">
        <f>utility!O15</f>
        <v>39.7316666666663</v>
      </c>
      <c r="F34" s="5">
        <f>utility!P15</f>
        <v>45.823999999999501</v>
      </c>
      <c r="G34" s="5">
        <f>utility!Q15</f>
        <v>4.3657777777778604</v>
      </c>
      <c r="H34" s="5">
        <f>utility!R15</f>
        <v>0.44600000000000001</v>
      </c>
      <c r="I34" t="str">
        <f>utility!S15 &amp; " ("&amp;TEXT(utility!T15,"0.00")&amp;")"</f>
        <v>4 (4.33)</v>
      </c>
    </row>
    <row r="35" spans="2:9">
      <c r="B35" t="str">
        <f>utility!L16</f>
        <v>STEIN</v>
      </c>
      <c r="C35" s="5">
        <f>utility!M16</f>
        <v>45.621999999999296</v>
      </c>
      <c r="D35" s="5">
        <f>utility!N16</f>
        <v>60.236000000000203</v>
      </c>
      <c r="E35" s="5">
        <f>utility!O16</f>
        <v>38.630999999999801</v>
      </c>
      <c r="F35" s="5">
        <f>utility!P16</f>
        <v>46.360000000000198</v>
      </c>
      <c r="G35" s="5">
        <f>utility!Q16</f>
        <v>1.76233333333334</v>
      </c>
      <c r="H35" s="5">
        <f>utility!R16</f>
        <v>0.38200000000000001</v>
      </c>
      <c r="I35" t="str">
        <f>utility!S16 &amp; " ("&amp;TEXT(utility!T16,"0.00")&amp;")"</f>
        <v>4 (4.33)</v>
      </c>
    </row>
    <row r="36" spans="2:9">
      <c r="B36" t="str">
        <f>utility!L17</f>
        <v>PRINTE</v>
      </c>
      <c r="C36" s="5">
        <f>utility!M17</f>
        <v>45.125999999999202</v>
      </c>
      <c r="D36" s="5">
        <f>utility!N17</f>
        <v>59.989999999999597</v>
      </c>
      <c r="E36" s="5">
        <f>utility!O17</f>
        <v>37.941888888888499</v>
      </c>
      <c r="F36" s="5">
        <f>utility!P17</f>
        <v>48.331999999998999</v>
      </c>
      <c r="G36" s="5">
        <f>utility!Q17</f>
        <v>2.5346666666666899</v>
      </c>
      <c r="H36" s="5">
        <f>utility!R17</f>
        <v>0.40600000000000003</v>
      </c>
      <c r="I36" t="str">
        <f>utility!S17 &amp; " ("&amp;TEXT(utility!T17,"0.00")&amp;")"</f>
        <v>6 (5.33)</v>
      </c>
    </row>
    <row r="37" spans="2:9">
      <c r="B37" t="str">
        <f>utility!L18</f>
        <v>TEPI</v>
      </c>
      <c r="C37" s="5">
        <f>utility!M18</f>
        <v>45.641999999999101</v>
      </c>
      <c r="D37" s="5">
        <f>utility!N18</f>
        <v>62.077999999998397</v>
      </c>
      <c r="E37" s="5">
        <f>utility!O18</f>
        <v>30.521222222220299</v>
      </c>
      <c r="F37" s="5">
        <f>utility!P18</f>
        <v>55.853999999998898</v>
      </c>
      <c r="G37" s="5">
        <f>utility!Q18</f>
        <v>6.9010000000002201</v>
      </c>
      <c r="H37" s="5">
        <f>utility!R18</f>
        <v>0.53800000000000003</v>
      </c>
      <c r="I37" t="str">
        <f>utility!S18 &amp; " ("&amp;TEXT(utility!T18,"0.00")&amp;")"</f>
        <v>7 (6.33)</v>
      </c>
    </row>
    <row r="38" spans="2:9">
      <c r="B38" t="str">
        <f>utility!L19</f>
        <v>BOIN12</v>
      </c>
      <c r="C38" s="7">
        <f>utility!M19</f>
        <v>48.847999999998798</v>
      </c>
      <c r="D38" s="7">
        <f>utility!N19</f>
        <v>64.83</v>
      </c>
      <c r="E38" s="5">
        <f>utility!O19</f>
        <v>38.730444444444402</v>
      </c>
      <c r="F38" s="7">
        <f>utility!P19</f>
        <v>37.481999999999601</v>
      </c>
      <c r="G38" s="5">
        <f>utility!Q19</f>
        <v>3.1225555555556599</v>
      </c>
      <c r="H38" s="5">
        <f>utility!R19</f>
        <v>0.66400000000000003</v>
      </c>
      <c r="I38" t="str">
        <f>utility!S19 &amp; " ("&amp;TEXT(utility!T19,"0.00")&amp;")"</f>
        <v>2 (3.33)</v>
      </c>
    </row>
    <row r="39" spans="2:9">
      <c r="B39" t="str">
        <f>utility!L20</f>
        <v>EffTox</v>
      </c>
      <c r="C39" s="5">
        <f>utility!M20</f>
        <v>37.480000000000103</v>
      </c>
      <c r="D39" s="5">
        <f>utility!N20</f>
        <v>50.560000000000201</v>
      </c>
      <c r="E39" s="5">
        <f>utility!O20</f>
        <v>33.037777777777897</v>
      </c>
      <c r="F39" s="5">
        <f>utility!P20</f>
        <v>57.720000000000297</v>
      </c>
      <c r="G39" s="7">
        <f>utility!Q20</f>
        <v>1.66444444444444</v>
      </c>
      <c r="H39" s="5">
        <f>utility!R20</f>
        <v>0.52</v>
      </c>
      <c r="I39" t="str">
        <f>utility!S20 &amp; " ("&amp;TEXT(utility!T20,"0.00")&amp;")"</f>
        <v>7 (6.33)</v>
      </c>
    </row>
  </sheetData>
  <mergeCells count="2">
    <mergeCell ref="A3:I3"/>
    <mergeCell ref="A22:I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41661-CABC-43C6-8190-54A428FA80C8}">
  <sheetPr codeName="Sheet4"/>
  <dimension ref="A1:Z21"/>
  <sheetViews>
    <sheetView topLeftCell="I1" workbookViewId="0">
      <selection activeCell="L4" sqref="L4:S20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2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12</v>
      </c>
      <c r="B5" t="s">
        <v>11</v>
      </c>
      <c r="C5" s="3">
        <v>43.811999999999401</v>
      </c>
      <c r="D5" s="3">
        <v>58.772000000000702</v>
      </c>
      <c r="E5" s="3">
        <v>36.600833333331103</v>
      </c>
      <c r="F5" s="3">
        <v>48.353999999999502</v>
      </c>
      <c r="G5" s="3">
        <v>3.8008333333333901</v>
      </c>
      <c r="H5" s="3">
        <v>1.482</v>
      </c>
      <c r="J5" t="str">
        <f>IF(_xlfn.RANK.AVG(M5,$M$5:$M$12)=1,1,"")</f>
        <v/>
      </c>
      <c r="K5" s="6">
        <v>36</v>
      </c>
      <c r="L5" t="s">
        <v>24</v>
      </c>
      <c r="M5" s="5">
        <f t="shared" ref="M5:R20" si="0">C5</f>
        <v>43.811999999999401</v>
      </c>
      <c r="N5" s="5">
        <f t="shared" si="0"/>
        <v>58.772000000000702</v>
      </c>
      <c r="O5" s="7">
        <f t="shared" si="0"/>
        <v>36.600833333331103</v>
      </c>
      <c r="P5" s="5">
        <f t="shared" si="0"/>
        <v>48.353999999999502</v>
      </c>
      <c r="Q5" s="5">
        <f t="shared" si="0"/>
        <v>3.8008333333333901</v>
      </c>
      <c r="R5" s="5">
        <f t="shared" si="0"/>
        <v>1.482</v>
      </c>
      <c r="S5" s="6">
        <f>_xlfn.RANK.EQ(T5,$T$5:$T$12,1)</f>
        <v>1</v>
      </c>
      <c r="T5">
        <f>AVERAGE(U5:Z5)</f>
        <v>3</v>
      </c>
      <c r="U5">
        <f t="shared" ref="U5:W12" si="1">(_xlfn.RANK.AVG(M5,M$5:M$12))</f>
        <v>3</v>
      </c>
      <c r="V5">
        <f t="shared" si="1"/>
        <v>5</v>
      </c>
      <c r="W5">
        <f t="shared" si="1"/>
        <v>1</v>
      </c>
      <c r="X5">
        <f t="shared" ref="X5:Z12" si="2">(_xlfn.RANK.AVG(P5,P$5:P$12,1))</f>
        <v>3</v>
      </c>
      <c r="Y5">
        <f t="shared" si="2"/>
        <v>3</v>
      </c>
      <c r="Z5">
        <f t="shared" si="2"/>
        <v>3</v>
      </c>
    </row>
    <row r="6" spans="1:26">
      <c r="B6" t="s">
        <v>12</v>
      </c>
      <c r="C6" s="3">
        <v>43.635999999999498</v>
      </c>
      <c r="D6" s="3">
        <v>58.756000000000299</v>
      </c>
      <c r="E6" s="3">
        <v>36.544166666664402</v>
      </c>
      <c r="F6" s="3">
        <v>48.873999999998901</v>
      </c>
      <c r="G6" s="3">
        <v>4.0750000000000597</v>
      </c>
      <c r="H6" s="3">
        <v>1.6419999999999899</v>
      </c>
      <c r="J6" t="str">
        <f t="shared" ref="J6" si="3">IF(_xlfn.RANK.AVG(M6,$M$5:$M$12)=1,1,"")</f>
        <v/>
      </c>
      <c r="K6" s="4"/>
      <c r="L6" t="s">
        <v>25</v>
      </c>
      <c r="M6" s="5">
        <f t="shared" si="0"/>
        <v>43.635999999999498</v>
      </c>
      <c r="N6" s="5">
        <f t="shared" si="0"/>
        <v>58.756000000000299</v>
      </c>
      <c r="O6" s="5">
        <f t="shared" si="0"/>
        <v>36.544166666664402</v>
      </c>
      <c r="P6" s="5">
        <f t="shared" si="0"/>
        <v>48.873999999998901</v>
      </c>
      <c r="Q6" s="5">
        <f t="shared" si="0"/>
        <v>4.0750000000000597</v>
      </c>
      <c r="R6" s="5">
        <f t="shared" si="0"/>
        <v>1.6419999999999899</v>
      </c>
      <c r="S6" s="6">
        <f t="shared" ref="S6:S12" si="4">_xlfn.RANK.EQ(T6,$T$5:$T$12,1)</f>
        <v>4</v>
      </c>
      <c r="T6">
        <f t="shared" ref="T6:T20" si="5">AVERAGE(U6:Z6)</f>
        <v>4.333333333333333</v>
      </c>
      <c r="U6">
        <f t="shared" si="1"/>
        <v>6</v>
      </c>
      <c r="V6">
        <f t="shared" si="1"/>
        <v>6</v>
      </c>
      <c r="W6">
        <f t="shared" si="1"/>
        <v>2</v>
      </c>
      <c r="X6">
        <f t="shared" si="2"/>
        <v>4</v>
      </c>
      <c r="Y6">
        <f t="shared" si="2"/>
        <v>4</v>
      </c>
      <c r="Z6">
        <f t="shared" si="2"/>
        <v>4</v>
      </c>
    </row>
    <row r="7" spans="1:26">
      <c r="B7" t="s">
        <v>15</v>
      </c>
      <c r="C7" s="3">
        <v>43.739999999999803</v>
      </c>
      <c r="D7" s="3">
        <v>59.8719999999999</v>
      </c>
      <c r="E7" s="3">
        <v>36.171999999997901</v>
      </c>
      <c r="F7" s="3">
        <v>48.209999999998999</v>
      </c>
      <c r="G7" s="3">
        <v>5.0973333333333901</v>
      </c>
      <c r="H7" s="3">
        <v>1.68799999999999</v>
      </c>
      <c r="K7" s="4"/>
      <c r="L7" t="s">
        <v>26</v>
      </c>
      <c r="M7" s="5">
        <f t="shared" si="0"/>
        <v>43.739999999999803</v>
      </c>
      <c r="N7" s="5">
        <f t="shared" si="0"/>
        <v>59.8719999999999</v>
      </c>
      <c r="O7" s="5">
        <f t="shared" si="0"/>
        <v>36.171999999997901</v>
      </c>
      <c r="P7" s="5">
        <f t="shared" si="0"/>
        <v>48.209999999998999</v>
      </c>
      <c r="Q7" s="5">
        <f t="shared" si="0"/>
        <v>5.0973333333333901</v>
      </c>
      <c r="R7" s="5">
        <f t="shared" si="0"/>
        <v>1.68799999999999</v>
      </c>
      <c r="S7" s="6">
        <f t="shared" si="4"/>
        <v>3</v>
      </c>
      <c r="T7">
        <f t="shared" si="5"/>
        <v>3.8333333333333335</v>
      </c>
      <c r="U7">
        <f t="shared" si="1"/>
        <v>4</v>
      </c>
      <c r="V7">
        <f t="shared" si="1"/>
        <v>4</v>
      </c>
      <c r="W7">
        <f t="shared" si="1"/>
        <v>3</v>
      </c>
      <c r="X7">
        <f t="shared" si="2"/>
        <v>2</v>
      </c>
      <c r="Y7">
        <f t="shared" si="2"/>
        <v>5</v>
      </c>
      <c r="Z7">
        <f t="shared" si="2"/>
        <v>5</v>
      </c>
    </row>
    <row r="8" spans="1:26">
      <c r="B8" t="s">
        <v>17</v>
      </c>
      <c r="C8" s="3">
        <v>42.521999999999302</v>
      </c>
      <c r="D8" s="3">
        <v>56.090000000000899</v>
      </c>
      <c r="E8" s="3">
        <v>34.681833333331497</v>
      </c>
      <c r="F8" s="3">
        <v>50.384000000000299</v>
      </c>
      <c r="G8" s="3">
        <v>2.0248333333333299</v>
      </c>
      <c r="H8" s="3">
        <v>1.208</v>
      </c>
      <c r="K8" s="4"/>
      <c r="L8" t="s">
        <v>27</v>
      </c>
      <c r="M8" s="5">
        <f t="shared" si="0"/>
        <v>42.521999999999302</v>
      </c>
      <c r="N8" s="5">
        <f t="shared" si="0"/>
        <v>56.090000000000899</v>
      </c>
      <c r="O8" s="5">
        <f t="shared" si="0"/>
        <v>34.681833333331497</v>
      </c>
      <c r="P8" s="5">
        <f t="shared" si="0"/>
        <v>50.384000000000299</v>
      </c>
      <c r="Q8" s="7">
        <f t="shared" si="0"/>
        <v>2.0248333333333299</v>
      </c>
      <c r="R8" s="7">
        <f t="shared" si="0"/>
        <v>1.208</v>
      </c>
      <c r="S8" s="6">
        <f t="shared" si="4"/>
        <v>5</v>
      </c>
      <c r="T8">
        <f t="shared" si="5"/>
        <v>4.5</v>
      </c>
      <c r="U8">
        <f t="shared" si="1"/>
        <v>8</v>
      </c>
      <c r="V8">
        <f t="shared" si="1"/>
        <v>8</v>
      </c>
      <c r="W8">
        <f t="shared" si="1"/>
        <v>4</v>
      </c>
      <c r="X8">
        <f t="shared" si="2"/>
        <v>5</v>
      </c>
      <c r="Y8">
        <f t="shared" si="2"/>
        <v>1</v>
      </c>
      <c r="Z8">
        <f t="shared" si="2"/>
        <v>1</v>
      </c>
    </row>
    <row r="9" spans="1:26">
      <c r="B9" t="s">
        <v>16</v>
      </c>
      <c r="C9" s="3">
        <v>42.7599999999996</v>
      </c>
      <c r="D9" s="3">
        <v>57.924000000000497</v>
      </c>
      <c r="E9" s="3">
        <v>34.627166666664699</v>
      </c>
      <c r="F9" s="3">
        <v>50.661999999999303</v>
      </c>
      <c r="G9" s="3">
        <v>2.7228333333333401</v>
      </c>
      <c r="H9" s="3">
        <v>1.4379999999999999</v>
      </c>
      <c r="K9" s="4"/>
      <c r="L9" t="s">
        <v>28</v>
      </c>
      <c r="M9" s="5">
        <f t="shared" si="0"/>
        <v>42.7599999999996</v>
      </c>
      <c r="N9" s="5">
        <f t="shared" si="0"/>
        <v>57.924000000000497</v>
      </c>
      <c r="O9" s="5">
        <f t="shared" si="0"/>
        <v>34.627166666664699</v>
      </c>
      <c r="P9" s="5">
        <f t="shared" si="0"/>
        <v>50.661999999999303</v>
      </c>
      <c r="Q9" s="5">
        <f t="shared" si="0"/>
        <v>2.7228333333333401</v>
      </c>
      <c r="R9" s="5">
        <f t="shared" si="0"/>
        <v>1.4379999999999999</v>
      </c>
      <c r="S9" s="6">
        <f t="shared" si="4"/>
        <v>6</v>
      </c>
      <c r="T9">
        <f t="shared" si="5"/>
        <v>5</v>
      </c>
      <c r="U9">
        <f t="shared" si="1"/>
        <v>7</v>
      </c>
      <c r="V9">
        <f t="shared" si="1"/>
        <v>7</v>
      </c>
      <c r="W9">
        <f t="shared" si="1"/>
        <v>5</v>
      </c>
      <c r="X9">
        <f t="shared" si="2"/>
        <v>7</v>
      </c>
      <c r="Y9">
        <f t="shared" si="2"/>
        <v>2</v>
      </c>
      <c r="Z9">
        <f t="shared" si="2"/>
        <v>2</v>
      </c>
    </row>
    <row r="10" spans="1:26">
      <c r="B10" t="s">
        <v>13</v>
      </c>
      <c r="C10" s="3">
        <v>43.827999999999903</v>
      </c>
      <c r="D10" s="3">
        <v>62.449999999999598</v>
      </c>
      <c r="E10" s="3">
        <v>28.879666666664502</v>
      </c>
      <c r="F10" s="3">
        <v>53.151999999998402</v>
      </c>
      <c r="G10" s="3">
        <v>7.2851666666667096</v>
      </c>
      <c r="H10" s="3">
        <v>2.01399999999999</v>
      </c>
      <c r="K10" s="4"/>
      <c r="L10" t="s">
        <v>29</v>
      </c>
      <c r="M10" s="5">
        <f t="shared" si="0"/>
        <v>43.827999999999903</v>
      </c>
      <c r="N10" s="5">
        <f t="shared" si="0"/>
        <v>62.449999999999598</v>
      </c>
      <c r="O10" s="5">
        <f t="shared" si="0"/>
        <v>28.879666666664502</v>
      </c>
      <c r="P10" s="5">
        <f t="shared" si="0"/>
        <v>53.151999999998402</v>
      </c>
      <c r="Q10" s="5">
        <f t="shared" si="0"/>
        <v>7.2851666666667096</v>
      </c>
      <c r="R10" s="5">
        <f t="shared" si="0"/>
        <v>2.01399999999999</v>
      </c>
      <c r="S10" s="6">
        <f t="shared" si="4"/>
        <v>7</v>
      </c>
      <c r="T10">
        <f t="shared" si="5"/>
        <v>5.5</v>
      </c>
      <c r="U10">
        <f t="shared" si="1"/>
        <v>2</v>
      </c>
      <c r="V10">
        <f t="shared" si="1"/>
        <v>2</v>
      </c>
      <c r="W10">
        <f t="shared" si="1"/>
        <v>8</v>
      </c>
      <c r="X10">
        <f t="shared" si="2"/>
        <v>8</v>
      </c>
      <c r="Y10">
        <f t="shared" si="2"/>
        <v>7</v>
      </c>
      <c r="Z10">
        <f t="shared" si="2"/>
        <v>6</v>
      </c>
    </row>
    <row r="11" spans="1:26">
      <c r="B11" t="s">
        <v>14</v>
      </c>
      <c r="C11" s="3">
        <v>45.3299999999996</v>
      </c>
      <c r="D11" s="3">
        <v>64.152000000000001</v>
      </c>
      <c r="E11" s="3">
        <v>34.586833333331299</v>
      </c>
      <c r="F11" s="3">
        <v>39.110000000000198</v>
      </c>
      <c r="G11" s="3">
        <v>5.1121666666667798</v>
      </c>
      <c r="H11" s="3">
        <v>2.3879999999999799</v>
      </c>
      <c r="L11" t="s">
        <v>30</v>
      </c>
      <c r="M11" s="7">
        <f t="shared" si="0"/>
        <v>45.3299999999996</v>
      </c>
      <c r="N11" s="7">
        <f t="shared" si="0"/>
        <v>64.152000000000001</v>
      </c>
      <c r="O11" s="5">
        <f t="shared" si="0"/>
        <v>34.586833333331299</v>
      </c>
      <c r="P11" s="7">
        <f t="shared" si="0"/>
        <v>39.110000000000198</v>
      </c>
      <c r="Q11" s="5">
        <f t="shared" si="0"/>
        <v>5.1121666666667798</v>
      </c>
      <c r="R11" s="5">
        <f t="shared" si="0"/>
        <v>2.3879999999999799</v>
      </c>
      <c r="S11" s="6">
        <f t="shared" si="4"/>
        <v>2</v>
      </c>
      <c r="T11">
        <f t="shared" si="5"/>
        <v>3.6666666666666665</v>
      </c>
      <c r="U11">
        <f t="shared" si="1"/>
        <v>1</v>
      </c>
      <c r="V11">
        <f t="shared" si="1"/>
        <v>1</v>
      </c>
      <c r="W11">
        <f t="shared" si="1"/>
        <v>6</v>
      </c>
      <c r="X11">
        <f t="shared" si="2"/>
        <v>1</v>
      </c>
      <c r="Y11">
        <f t="shared" si="2"/>
        <v>6</v>
      </c>
      <c r="Z11">
        <f t="shared" si="2"/>
        <v>7</v>
      </c>
    </row>
    <row r="12" spans="1:26">
      <c r="B12" t="s">
        <v>42</v>
      </c>
      <c r="C12" s="3">
        <v>43.6400000000001</v>
      </c>
      <c r="D12" s="3">
        <v>62.200000000000301</v>
      </c>
      <c r="E12" s="3">
        <v>34.14</v>
      </c>
      <c r="F12" s="3">
        <v>50.400000000000198</v>
      </c>
      <c r="G12" s="3">
        <v>9.5233333333333405</v>
      </c>
      <c r="H12" s="3">
        <v>6.24</v>
      </c>
      <c r="L12" t="s">
        <v>43</v>
      </c>
      <c r="M12" s="5">
        <f t="shared" si="0"/>
        <v>43.6400000000001</v>
      </c>
      <c r="N12" s="5">
        <f t="shared" si="0"/>
        <v>62.200000000000301</v>
      </c>
      <c r="O12" s="5">
        <f t="shared" si="0"/>
        <v>34.14</v>
      </c>
      <c r="P12" s="5">
        <f t="shared" si="0"/>
        <v>50.400000000000198</v>
      </c>
      <c r="Q12" s="5">
        <f t="shared" si="0"/>
        <v>9.5233333333333405</v>
      </c>
      <c r="R12" s="5">
        <f t="shared" si="0"/>
        <v>6.24</v>
      </c>
      <c r="S12" s="6">
        <f t="shared" si="4"/>
        <v>8</v>
      </c>
      <c r="T12">
        <f t="shared" si="5"/>
        <v>6.166666666666667</v>
      </c>
      <c r="U12">
        <f t="shared" si="1"/>
        <v>5</v>
      </c>
      <c r="V12">
        <f t="shared" si="1"/>
        <v>3</v>
      </c>
      <c r="W12">
        <f t="shared" si="1"/>
        <v>7</v>
      </c>
      <c r="X12">
        <f t="shared" si="2"/>
        <v>6</v>
      </c>
      <c r="Y12">
        <f t="shared" si="2"/>
        <v>8</v>
      </c>
      <c r="Z12">
        <f t="shared" si="2"/>
        <v>8</v>
      </c>
    </row>
    <row r="13" spans="1:26">
      <c r="A13">
        <v>18</v>
      </c>
      <c r="B13" t="s">
        <v>11</v>
      </c>
      <c r="C13" s="3">
        <v>46.037999999999101</v>
      </c>
      <c r="D13" s="3">
        <v>61.294000000000501</v>
      </c>
      <c r="E13" s="3">
        <v>39.383555555555297</v>
      </c>
      <c r="F13" s="3">
        <v>47.289999999999502</v>
      </c>
      <c r="G13" s="3">
        <v>3.16666666666673</v>
      </c>
      <c r="H13" s="3">
        <v>1.054</v>
      </c>
      <c r="K13">
        <v>54</v>
      </c>
      <c r="L13" t="s">
        <v>24</v>
      </c>
      <c r="M13" s="5">
        <f t="shared" si="0"/>
        <v>46.037999999999101</v>
      </c>
      <c r="N13" s="5">
        <f t="shared" si="0"/>
        <v>61.294000000000501</v>
      </c>
      <c r="O13" s="7">
        <f t="shared" si="0"/>
        <v>39.383555555555297</v>
      </c>
      <c r="P13" s="5">
        <f t="shared" si="0"/>
        <v>47.289999999999502</v>
      </c>
      <c r="Q13" s="5">
        <f t="shared" si="0"/>
        <v>3.16666666666673</v>
      </c>
      <c r="R13" s="5">
        <f t="shared" si="0"/>
        <v>1.054</v>
      </c>
      <c r="S13" s="6">
        <f>_xlfn.RANK.EQ(T13,$T$13:$T$20,1)</f>
        <v>1</v>
      </c>
      <c r="T13">
        <f>AVERAGE(U13:Z13)</f>
        <v>3.1666666666666665</v>
      </c>
      <c r="U13">
        <f t="shared" ref="U13:W20" si="6">(_xlfn.RANK.AVG(M13,M$13:M$20))</f>
        <v>3</v>
      </c>
      <c r="V13">
        <f t="shared" si="6"/>
        <v>6</v>
      </c>
      <c r="W13">
        <f t="shared" si="6"/>
        <v>1</v>
      </c>
      <c r="X13">
        <f t="shared" ref="X13:Z20" si="7">(_xlfn.RANK.AVG(P13,P$13:P$20,1))</f>
        <v>4</v>
      </c>
      <c r="Y13">
        <f t="shared" si="7"/>
        <v>3</v>
      </c>
      <c r="Z13">
        <f t="shared" si="7"/>
        <v>2</v>
      </c>
    </row>
    <row r="14" spans="1:26">
      <c r="B14" t="s">
        <v>12</v>
      </c>
      <c r="C14" s="3">
        <v>45.801999999999403</v>
      </c>
      <c r="D14" s="3">
        <v>61.800000000000097</v>
      </c>
      <c r="E14" s="3">
        <v>39.336111111110903</v>
      </c>
      <c r="F14" s="3">
        <v>46.931999999999199</v>
      </c>
      <c r="G14" s="3">
        <v>3.3865555555556202</v>
      </c>
      <c r="H14" s="3">
        <v>1.0920000000000001</v>
      </c>
      <c r="L14" t="s">
        <v>25</v>
      </c>
      <c r="M14" s="5">
        <f t="shared" si="0"/>
        <v>45.801999999999403</v>
      </c>
      <c r="N14" s="5">
        <f t="shared" si="0"/>
        <v>61.800000000000097</v>
      </c>
      <c r="O14" s="5">
        <f t="shared" si="0"/>
        <v>39.336111111110903</v>
      </c>
      <c r="P14" s="5">
        <f t="shared" si="0"/>
        <v>46.931999999999199</v>
      </c>
      <c r="Q14" s="5">
        <f t="shared" si="0"/>
        <v>3.3865555555556202</v>
      </c>
      <c r="R14" s="5">
        <f t="shared" si="0"/>
        <v>1.0920000000000001</v>
      </c>
      <c r="S14" s="6">
        <f t="shared" ref="S14:S20" si="8">_xlfn.RANK.EQ(T14,$T$13:$T$20,1)</f>
        <v>3</v>
      </c>
      <c r="T14">
        <f>AVERAGE(U14:Z14)</f>
        <v>3.6666666666666665</v>
      </c>
      <c r="U14">
        <f t="shared" si="6"/>
        <v>5</v>
      </c>
      <c r="V14">
        <f t="shared" si="6"/>
        <v>5</v>
      </c>
      <c r="W14">
        <f t="shared" si="6"/>
        <v>2</v>
      </c>
      <c r="X14">
        <f t="shared" si="7"/>
        <v>3</v>
      </c>
      <c r="Y14">
        <f t="shared" si="7"/>
        <v>4</v>
      </c>
      <c r="Z14">
        <f t="shared" si="7"/>
        <v>3</v>
      </c>
    </row>
    <row r="15" spans="1:26">
      <c r="B15" t="s">
        <v>15</v>
      </c>
      <c r="C15" s="3">
        <v>45.841999999999402</v>
      </c>
      <c r="D15" s="3">
        <v>62.937999999999697</v>
      </c>
      <c r="E15" s="3">
        <v>38.781666666666403</v>
      </c>
      <c r="F15" s="3">
        <v>46.617999999999299</v>
      </c>
      <c r="G15" s="3">
        <v>4.4823333333334201</v>
      </c>
      <c r="H15" s="3">
        <v>1.21</v>
      </c>
      <c r="L15" t="s">
        <v>26</v>
      </c>
      <c r="M15" s="5">
        <f t="shared" si="0"/>
        <v>45.841999999999402</v>
      </c>
      <c r="N15" s="5">
        <f t="shared" si="0"/>
        <v>62.937999999999697</v>
      </c>
      <c r="O15" s="5">
        <f t="shared" si="0"/>
        <v>38.781666666666403</v>
      </c>
      <c r="P15" s="5">
        <f t="shared" si="0"/>
        <v>46.617999999999299</v>
      </c>
      <c r="Q15" s="5">
        <f t="shared" si="0"/>
        <v>4.4823333333334201</v>
      </c>
      <c r="R15" s="5">
        <f t="shared" si="0"/>
        <v>1.21</v>
      </c>
      <c r="S15" s="6">
        <f t="shared" si="8"/>
        <v>4</v>
      </c>
      <c r="T15">
        <f t="shared" si="5"/>
        <v>4</v>
      </c>
      <c r="U15">
        <f t="shared" si="6"/>
        <v>4</v>
      </c>
      <c r="V15">
        <f t="shared" si="6"/>
        <v>4</v>
      </c>
      <c r="W15">
        <f t="shared" si="6"/>
        <v>3</v>
      </c>
      <c r="X15">
        <f t="shared" si="7"/>
        <v>2</v>
      </c>
      <c r="Y15">
        <f t="shared" si="7"/>
        <v>6</v>
      </c>
      <c r="Z15">
        <f t="shared" si="7"/>
        <v>5</v>
      </c>
    </row>
    <row r="16" spans="1:26">
      <c r="B16" t="s">
        <v>17</v>
      </c>
      <c r="C16" s="3">
        <v>44.825999999998999</v>
      </c>
      <c r="D16" s="3">
        <v>58.8940000000011</v>
      </c>
      <c r="E16" s="3">
        <v>37.330888888888701</v>
      </c>
      <c r="F16" s="3">
        <v>48.086000000000098</v>
      </c>
      <c r="G16" s="3">
        <v>1.77922222222224</v>
      </c>
      <c r="H16" s="3">
        <v>1.03</v>
      </c>
      <c r="L16" t="s">
        <v>27</v>
      </c>
      <c r="M16" s="5">
        <f t="shared" si="0"/>
        <v>44.825999999998999</v>
      </c>
      <c r="N16" s="5">
        <f t="shared" si="0"/>
        <v>58.8940000000011</v>
      </c>
      <c r="O16" s="5">
        <f t="shared" si="0"/>
        <v>37.330888888888701</v>
      </c>
      <c r="P16" s="5">
        <f t="shared" si="0"/>
        <v>48.086000000000098</v>
      </c>
      <c r="Q16" s="7">
        <f t="shared" si="0"/>
        <v>1.77922222222224</v>
      </c>
      <c r="R16" s="7">
        <f t="shared" si="0"/>
        <v>1.03</v>
      </c>
      <c r="S16" s="6">
        <f t="shared" si="8"/>
        <v>5</v>
      </c>
      <c r="T16">
        <f t="shared" si="5"/>
        <v>4.5</v>
      </c>
      <c r="U16">
        <f t="shared" si="6"/>
        <v>7</v>
      </c>
      <c r="V16">
        <f t="shared" si="6"/>
        <v>8</v>
      </c>
      <c r="W16">
        <f t="shared" si="6"/>
        <v>5</v>
      </c>
      <c r="X16">
        <f t="shared" si="7"/>
        <v>5</v>
      </c>
      <c r="Y16">
        <f t="shared" si="7"/>
        <v>1</v>
      </c>
      <c r="Z16">
        <f t="shared" si="7"/>
        <v>1</v>
      </c>
    </row>
    <row r="17" spans="1:26">
      <c r="B17" t="s">
        <v>16</v>
      </c>
      <c r="C17" s="3">
        <v>44.959999999999503</v>
      </c>
      <c r="D17" s="3">
        <v>60.698000000000199</v>
      </c>
      <c r="E17" s="3">
        <v>37.281444444443999</v>
      </c>
      <c r="F17" s="3">
        <v>48.793999999998903</v>
      </c>
      <c r="G17" s="3">
        <v>2.5522222222222499</v>
      </c>
      <c r="H17" s="3">
        <v>1.1180000000000001</v>
      </c>
      <c r="L17" t="s">
        <v>28</v>
      </c>
      <c r="M17" s="5">
        <f t="shared" si="0"/>
        <v>44.959999999999503</v>
      </c>
      <c r="N17" s="5">
        <f t="shared" si="0"/>
        <v>60.698000000000199</v>
      </c>
      <c r="O17" s="5">
        <f t="shared" si="0"/>
        <v>37.281444444443999</v>
      </c>
      <c r="P17" s="5">
        <f t="shared" si="0"/>
        <v>48.793999999998903</v>
      </c>
      <c r="Q17" s="5">
        <f t="shared" si="0"/>
        <v>2.5522222222222499</v>
      </c>
      <c r="R17" s="5">
        <f t="shared" si="0"/>
        <v>1.1180000000000001</v>
      </c>
      <c r="S17" s="6">
        <f t="shared" si="8"/>
        <v>6</v>
      </c>
      <c r="T17">
        <f t="shared" si="5"/>
        <v>5.333333333333333</v>
      </c>
      <c r="U17">
        <f t="shared" si="6"/>
        <v>6</v>
      </c>
      <c r="V17">
        <f t="shared" si="6"/>
        <v>7</v>
      </c>
      <c r="W17">
        <f t="shared" si="6"/>
        <v>6</v>
      </c>
      <c r="X17">
        <f t="shared" si="7"/>
        <v>7</v>
      </c>
      <c r="Y17">
        <f t="shared" si="7"/>
        <v>2</v>
      </c>
      <c r="Z17">
        <f t="shared" si="7"/>
        <v>4</v>
      </c>
    </row>
    <row r="18" spans="1:26">
      <c r="B18" t="s">
        <v>13</v>
      </c>
      <c r="C18" s="3">
        <v>46.061999999999401</v>
      </c>
      <c r="D18" s="3">
        <v>65.215999999999497</v>
      </c>
      <c r="E18" s="3">
        <v>31.954222222220199</v>
      </c>
      <c r="F18" s="3">
        <v>53.491999999999202</v>
      </c>
      <c r="G18" s="3">
        <v>6.9598888888891199</v>
      </c>
      <c r="H18" s="3">
        <v>1.4319999999999999</v>
      </c>
      <c r="L18" t="s">
        <v>29</v>
      </c>
      <c r="M18" s="5">
        <f t="shared" si="0"/>
        <v>46.061999999999401</v>
      </c>
      <c r="N18" s="5">
        <f t="shared" si="0"/>
        <v>65.215999999999497</v>
      </c>
      <c r="O18" s="5">
        <f t="shared" si="0"/>
        <v>31.954222222220199</v>
      </c>
      <c r="P18" s="5">
        <f t="shared" si="0"/>
        <v>53.491999999999202</v>
      </c>
      <c r="Q18" s="5">
        <f t="shared" si="0"/>
        <v>6.9598888888891199</v>
      </c>
      <c r="R18" s="5">
        <f t="shared" si="0"/>
        <v>1.4319999999999999</v>
      </c>
      <c r="S18" s="6">
        <f t="shared" si="8"/>
        <v>7</v>
      </c>
      <c r="T18">
        <f t="shared" si="5"/>
        <v>5.5</v>
      </c>
      <c r="U18">
        <f t="shared" si="6"/>
        <v>2</v>
      </c>
      <c r="V18">
        <f t="shared" si="6"/>
        <v>2</v>
      </c>
      <c r="W18">
        <f t="shared" si="6"/>
        <v>8</v>
      </c>
      <c r="X18">
        <f t="shared" si="7"/>
        <v>8</v>
      </c>
      <c r="Y18">
        <f t="shared" si="7"/>
        <v>7</v>
      </c>
      <c r="Z18">
        <f t="shared" si="7"/>
        <v>6</v>
      </c>
    </row>
    <row r="19" spans="1:26">
      <c r="B19" t="s">
        <v>14</v>
      </c>
      <c r="C19" s="3">
        <v>47.979999999999002</v>
      </c>
      <c r="D19" s="3">
        <v>67.280000000000499</v>
      </c>
      <c r="E19" s="3">
        <v>37.5562222222214</v>
      </c>
      <c r="F19" s="3">
        <v>36.8560000000004</v>
      </c>
      <c r="G19" s="3">
        <v>4.07488888888905</v>
      </c>
      <c r="H19" s="3">
        <v>1.76199999999999</v>
      </c>
      <c r="L19" t="s">
        <v>30</v>
      </c>
      <c r="M19" s="7">
        <f t="shared" si="0"/>
        <v>47.979999999999002</v>
      </c>
      <c r="N19" s="7">
        <f t="shared" si="0"/>
        <v>67.280000000000499</v>
      </c>
      <c r="O19" s="5">
        <f t="shared" si="0"/>
        <v>37.5562222222214</v>
      </c>
      <c r="P19" s="7">
        <f t="shared" si="0"/>
        <v>36.8560000000004</v>
      </c>
      <c r="Q19" s="5">
        <f t="shared" si="0"/>
        <v>4.07488888888905</v>
      </c>
      <c r="R19" s="5">
        <f t="shared" si="0"/>
        <v>1.76199999999999</v>
      </c>
      <c r="S19" s="6">
        <f t="shared" si="8"/>
        <v>1</v>
      </c>
      <c r="T19">
        <f t="shared" si="5"/>
        <v>3.1666666666666665</v>
      </c>
      <c r="U19">
        <f t="shared" si="6"/>
        <v>1</v>
      </c>
      <c r="V19">
        <f t="shared" si="6"/>
        <v>1</v>
      </c>
      <c r="W19">
        <f t="shared" si="6"/>
        <v>4</v>
      </c>
      <c r="X19">
        <f t="shared" si="7"/>
        <v>1</v>
      </c>
      <c r="Y19">
        <f t="shared" si="7"/>
        <v>5</v>
      </c>
      <c r="Z19">
        <f t="shared" si="7"/>
        <v>7</v>
      </c>
    </row>
    <row r="20" spans="1:26">
      <c r="B20" t="s">
        <v>42</v>
      </c>
      <c r="C20" s="3">
        <v>44.160000000000103</v>
      </c>
      <c r="D20" s="3">
        <v>64.840000000000401</v>
      </c>
      <c r="E20" s="3">
        <v>36.973333333333599</v>
      </c>
      <c r="F20" s="3">
        <v>48.6400000000002</v>
      </c>
      <c r="G20" s="3">
        <v>7.9199999999999697</v>
      </c>
      <c r="H20" s="3">
        <v>3.68</v>
      </c>
      <c r="L20" t="s">
        <v>43</v>
      </c>
      <c r="M20" s="5">
        <f t="shared" si="0"/>
        <v>44.160000000000103</v>
      </c>
      <c r="N20" s="5">
        <f t="shared" si="0"/>
        <v>64.840000000000401</v>
      </c>
      <c r="O20" s="5">
        <f t="shared" si="0"/>
        <v>36.973333333333599</v>
      </c>
      <c r="P20" s="5">
        <f t="shared" si="0"/>
        <v>48.6400000000002</v>
      </c>
      <c r="Q20" s="5">
        <f t="shared" si="0"/>
        <v>7.9199999999999697</v>
      </c>
      <c r="R20" s="5">
        <f t="shared" si="0"/>
        <v>3.68</v>
      </c>
      <c r="S20" s="6">
        <f t="shared" si="8"/>
        <v>8</v>
      </c>
      <c r="T20">
        <f t="shared" si="5"/>
        <v>6.666666666666667</v>
      </c>
      <c r="U20">
        <f t="shared" si="6"/>
        <v>8</v>
      </c>
      <c r="V20">
        <f t="shared" si="6"/>
        <v>3</v>
      </c>
      <c r="W20">
        <f t="shared" si="6"/>
        <v>7</v>
      </c>
      <c r="X20">
        <f t="shared" si="7"/>
        <v>6</v>
      </c>
      <c r="Y20">
        <f t="shared" si="7"/>
        <v>8</v>
      </c>
      <c r="Z20">
        <f t="shared" si="7"/>
        <v>8</v>
      </c>
    </row>
    <row r="21" spans="1:26">
      <c r="A21" t="s">
        <v>18</v>
      </c>
      <c r="C21" s="3">
        <v>714.93799999999214</v>
      </c>
      <c r="D21" s="3">
        <v>983.17600000000414</v>
      </c>
      <c r="E21" s="3">
        <v>574.82994444442591</v>
      </c>
      <c r="F21" s="3">
        <v>765.85399999999277</v>
      </c>
      <c r="G21" s="3">
        <v>73.963277777778742</v>
      </c>
      <c r="H21" s="3">
        <v>30.477999999999938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topLeftCell="K1" workbookViewId="0">
      <selection activeCell="L13" sqref="L13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1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12</v>
      </c>
      <c r="B5" t="s">
        <v>11</v>
      </c>
      <c r="C5" s="3">
        <v>45.409999999999201</v>
      </c>
      <c r="D5" s="3">
        <v>60.111999999999597</v>
      </c>
      <c r="E5" s="3">
        <v>37.305166666664803</v>
      </c>
      <c r="F5" s="3">
        <v>42.436</v>
      </c>
      <c r="G5" s="3">
        <v>3.67466666666671</v>
      </c>
      <c r="H5" s="3">
        <v>0.63</v>
      </c>
      <c r="J5">
        <f>IF(_xlfn.RANK.AVG(M5,$M$5:$M$12)=1,1,"")</f>
        <v>1</v>
      </c>
      <c r="K5" s="6">
        <v>36</v>
      </c>
      <c r="L5" t="s">
        <v>24</v>
      </c>
      <c r="M5" s="7">
        <f t="shared" ref="M5:R11" si="0">C5</f>
        <v>45.409999999999201</v>
      </c>
      <c r="N5" s="5">
        <f t="shared" si="0"/>
        <v>60.111999999999597</v>
      </c>
      <c r="O5" s="5">
        <f t="shared" si="0"/>
        <v>37.305166666664803</v>
      </c>
      <c r="P5" s="5">
        <f t="shared" si="0"/>
        <v>42.436</v>
      </c>
      <c r="Q5" s="5">
        <f t="shared" si="0"/>
        <v>3.67466666666671</v>
      </c>
      <c r="R5" s="5">
        <f t="shared" si="0"/>
        <v>0.63</v>
      </c>
      <c r="S5" s="6">
        <f>_xlfn.RANK.EQ(T5,$T$5:$T$12,1)</f>
        <v>1</v>
      </c>
      <c r="T5">
        <f>AVERAGE(U5:Z5)</f>
        <v>2.5</v>
      </c>
      <c r="U5">
        <f t="shared" ref="U5:W12" si="1">(_xlfn.RANK.AVG(M5,M$5:M$12))</f>
        <v>1</v>
      </c>
      <c r="V5">
        <f t="shared" si="1"/>
        <v>2</v>
      </c>
      <c r="W5">
        <f t="shared" si="1"/>
        <v>2</v>
      </c>
      <c r="X5">
        <f t="shared" ref="X5:Z12" si="2">(_xlfn.RANK.AVG(P5,P$5:P$12,1))</f>
        <v>2</v>
      </c>
      <c r="Y5">
        <f t="shared" si="2"/>
        <v>4</v>
      </c>
      <c r="Z5">
        <f t="shared" si="2"/>
        <v>4</v>
      </c>
    </row>
    <row r="6" spans="1:26">
      <c r="B6" t="s">
        <v>12</v>
      </c>
      <c r="C6" s="3">
        <v>44.197999999999297</v>
      </c>
      <c r="D6" s="3">
        <v>58.7239999999994</v>
      </c>
      <c r="E6" s="3">
        <v>37.636833333330998</v>
      </c>
      <c r="F6" s="3">
        <v>47.589999999999101</v>
      </c>
      <c r="G6" s="3">
        <v>3.8928333333333902</v>
      </c>
      <c r="H6" s="3">
        <v>0.58799999999999997</v>
      </c>
      <c r="J6" t="str">
        <f t="shared" ref="J6" si="3">IF(_xlfn.RANK.AVG(M6,$M$5:$M$12)=1,1,"")</f>
        <v/>
      </c>
      <c r="K6" s="4"/>
      <c r="L6" t="s">
        <v>25</v>
      </c>
      <c r="M6" s="5">
        <f t="shared" si="0"/>
        <v>44.197999999999297</v>
      </c>
      <c r="N6" s="5">
        <f t="shared" si="0"/>
        <v>58.7239999999994</v>
      </c>
      <c r="O6" s="7">
        <f t="shared" si="0"/>
        <v>37.636833333330998</v>
      </c>
      <c r="P6" s="5">
        <f t="shared" si="0"/>
        <v>47.589999999999101</v>
      </c>
      <c r="Q6" s="5">
        <f t="shared" si="0"/>
        <v>3.8928333333333902</v>
      </c>
      <c r="R6" s="5">
        <f t="shared" si="0"/>
        <v>0.58799999999999997</v>
      </c>
      <c r="S6" s="6">
        <f t="shared" ref="S6:S12" si="4">_xlfn.RANK.EQ(T6,$T$5:$T$12,1)</f>
        <v>3</v>
      </c>
      <c r="T6">
        <f t="shared" ref="T6:T20" si="5">AVERAGE(U6:Z6)</f>
        <v>3.5</v>
      </c>
      <c r="U6">
        <f t="shared" si="1"/>
        <v>4</v>
      </c>
      <c r="V6">
        <f t="shared" si="1"/>
        <v>5</v>
      </c>
      <c r="W6">
        <f t="shared" si="1"/>
        <v>1</v>
      </c>
      <c r="X6">
        <f t="shared" si="2"/>
        <v>3</v>
      </c>
      <c r="Y6">
        <f t="shared" si="2"/>
        <v>6</v>
      </c>
      <c r="Z6">
        <f t="shared" si="2"/>
        <v>2</v>
      </c>
    </row>
    <row r="7" spans="1:26">
      <c r="B7" t="s">
        <v>15</v>
      </c>
      <c r="C7" s="3">
        <v>44.247999999999202</v>
      </c>
      <c r="D7" s="3">
        <v>58.931999999999</v>
      </c>
      <c r="E7" s="3">
        <v>36.881666666664401</v>
      </c>
      <c r="F7" s="3">
        <v>47.685999999999098</v>
      </c>
      <c r="G7" s="3">
        <v>4.9146666666667196</v>
      </c>
      <c r="H7" s="3">
        <v>0.72199999999999998</v>
      </c>
      <c r="K7" s="4"/>
      <c r="L7" t="s">
        <v>26</v>
      </c>
      <c r="M7" s="5">
        <f t="shared" si="0"/>
        <v>44.247999999999202</v>
      </c>
      <c r="N7" s="5">
        <f t="shared" si="0"/>
        <v>58.931999999999</v>
      </c>
      <c r="O7" s="5">
        <f t="shared" si="0"/>
        <v>36.881666666664401</v>
      </c>
      <c r="P7" s="5">
        <f t="shared" si="0"/>
        <v>47.685999999999098</v>
      </c>
      <c r="Q7" s="5">
        <f t="shared" si="0"/>
        <v>4.9146666666667196</v>
      </c>
      <c r="R7" s="5">
        <f t="shared" si="0"/>
        <v>0.72199999999999998</v>
      </c>
      <c r="S7" s="6">
        <f t="shared" si="4"/>
        <v>4</v>
      </c>
      <c r="T7">
        <f t="shared" si="5"/>
        <v>4.333333333333333</v>
      </c>
      <c r="U7">
        <f t="shared" si="1"/>
        <v>3</v>
      </c>
      <c r="V7">
        <f t="shared" si="1"/>
        <v>4</v>
      </c>
      <c r="W7">
        <f t="shared" si="1"/>
        <v>3</v>
      </c>
      <c r="X7">
        <f t="shared" si="2"/>
        <v>4</v>
      </c>
      <c r="Y7">
        <f t="shared" si="2"/>
        <v>7</v>
      </c>
      <c r="Z7">
        <f t="shared" si="2"/>
        <v>5</v>
      </c>
    </row>
    <row r="8" spans="1:26">
      <c r="B8" t="s">
        <v>17</v>
      </c>
      <c r="C8" s="3">
        <v>43.191999999999297</v>
      </c>
      <c r="D8" s="3">
        <v>57.122000000000199</v>
      </c>
      <c r="E8" s="3">
        <v>35.681833333331397</v>
      </c>
      <c r="F8" s="3">
        <v>48.976000000000397</v>
      </c>
      <c r="G8" s="3">
        <v>1.97966666666666</v>
      </c>
      <c r="H8" s="3">
        <v>0.59399999999999997</v>
      </c>
      <c r="K8" s="4"/>
      <c r="L8" t="s">
        <v>27</v>
      </c>
      <c r="M8" s="5">
        <f t="shared" si="0"/>
        <v>43.191999999999297</v>
      </c>
      <c r="N8" s="5">
        <f t="shared" si="0"/>
        <v>57.122000000000199</v>
      </c>
      <c r="O8" s="5">
        <f t="shared" si="0"/>
        <v>35.681833333331397</v>
      </c>
      <c r="P8" s="5">
        <f t="shared" si="0"/>
        <v>48.976000000000397</v>
      </c>
      <c r="Q8" s="7">
        <f t="shared" si="0"/>
        <v>1.97966666666666</v>
      </c>
      <c r="R8" s="5">
        <f t="shared" si="0"/>
        <v>0.59399999999999997</v>
      </c>
      <c r="S8" s="6">
        <f t="shared" si="4"/>
        <v>4</v>
      </c>
      <c r="T8">
        <f t="shared" si="5"/>
        <v>4.333333333333333</v>
      </c>
      <c r="U8">
        <f t="shared" si="1"/>
        <v>6</v>
      </c>
      <c r="V8">
        <f t="shared" si="1"/>
        <v>7</v>
      </c>
      <c r="W8">
        <f t="shared" si="1"/>
        <v>4</v>
      </c>
      <c r="X8">
        <f t="shared" si="2"/>
        <v>5</v>
      </c>
      <c r="Y8">
        <f t="shared" si="2"/>
        <v>1</v>
      </c>
      <c r="Z8">
        <f t="shared" si="2"/>
        <v>3</v>
      </c>
    </row>
    <row r="9" spans="1:26">
      <c r="B9" t="s">
        <v>16</v>
      </c>
      <c r="C9" s="3">
        <v>43.095999999999201</v>
      </c>
      <c r="D9" s="3">
        <v>57.381999999999699</v>
      </c>
      <c r="E9" s="3">
        <v>35.130833333331402</v>
      </c>
      <c r="F9" s="3">
        <v>50.145999999999397</v>
      </c>
      <c r="G9" s="3">
        <v>2.6778333333333402</v>
      </c>
      <c r="H9" s="3">
        <v>0.55800000000000005</v>
      </c>
      <c r="K9" s="4"/>
      <c r="L9" t="s">
        <v>28</v>
      </c>
      <c r="M9" s="5">
        <f t="shared" si="0"/>
        <v>43.095999999999201</v>
      </c>
      <c r="N9" s="5">
        <f t="shared" si="0"/>
        <v>57.381999999999699</v>
      </c>
      <c r="O9" s="5">
        <f t="shared" si="0"/>
        <v>35.130833333331402</v>
      </c>
      <c r="P9" s="5">
        <f t="shared" si="0"/>
        <v>50.145999999999397</v>
      </c>
      <c r="Q9" s="5">
        <f t="shared" si="0"/>
        <v>2.6778333333333402</v>
      </c>
      <c r="R9" s="7">
        <f t="shared" si="0"/>
        <v>0.55800000000000005</v>
      </c>
      <c r="S9" s="6">
        <f t="shared" si="4"/>
        <v>6</v>
      </c>
      <c r="T9">
        <f t="shared" si="5"/>
        <v>4.833333333333333</v>
      </c>
      <c r="U9">
        <f t="shared" si="1"/>
        <v>7</v>
      </c>
      <c r="V9">
        <f t="shared" si="1"/>
        <v>6</v>
      </c>
      <c r="W9">
        <f t="shared" si="1"/>
        <v>6</v>
      </c>
      <c r="X9">
        <f t="shared" si="2"/>
        <v>6</v>
      </c>
      <c r="Y9">
        <f t="shared" si="2"/>
        <v>3</v>
      </c>
      <c r="Z9">
        <f t="shared" si="2"/>
        <v>1</v>
      </c>
    </row>
    <row r="10" spans="1:26">
      <c r="B10" t="s">
        <v>13</v>
      </c>
      <c r="C10" s="3">
        <v>43.5379999999993</v>
      </c>
      <c r="D10" s="3">
        <v>59.4399999999982</v>
      </c>
      <c r="E10" s="3">
        <v>27.8808333333311</v>
      </c>
      <c r="F10" s="3">
        <v>55.083999999998099</v>
      </c>
      <c r="G10" s="3">
        <v>7.2291666666666803</v>
      </c>
      <c r="H10" s="3">
        <v>0.91</v>
      </c>
      <c r="K10" s="4"/>
      <c r="L10" t="s">
        <v>29</v>
      </c>
      <c r="M10" s="5">
        <f t="shared" si="0"/>
        <v>43.5379999999993</v>
      </c>
      <c r="N10" s="5">
        <f t="shared" si="0"/>
        <v>59.4399999999982</v>
      </c>
      <c r="O10" s="5">
        <f t="shared" si="0"/>
        <v>27.8808333333311</v>
      </c>
      <c r="P10" s="5">
        <f t="shared" si="0"/>
        <v>55.083999999998099</v>
      </c>
      <c r="Q10" s="5">
        <f t="shared" si="0"/>
        <v>7.2291666666666803</v>
      </c>
      <c r="R10" s="5">
        <f t="shared" si="0"/>
        <v>0.91</v>
      </c>
      <c r="S10" s="6">
        <f t="shared" si="4"/>
        <v>7</v>
      </c>
      <c r="T10">
        <f t="shared" si="5"/>
        <v>6.333333333333333</v>
      </c>
      <c r="U10">
        <f t="shared" si="1"/>
        <v>5</v>
      </c>
      <c r="V10">
        <f t="shared" si="1"/>
        <v>3</v>
      </c>
      <c r="W10">
        <f t="shared" si="1"/>
        <v>8</v>
      </c>
      <c r="X10">
        <f t="shared" si="2"/>
        <v>7</v>
      </c>
      <c r="Y10">
        <f t="shared" si="2"/>
        <v>8</v>
      </c>
      <c r="Z10">
        <f t="shared" si="2"/>
        <v>7</v>
      </c>
    </row>
    <row r="11" spans="1:26">
      <c r="B11" t="s">
        <v>14</v>
      </c>
      <c r="C11" s="3">
        <v>44.969999999998997</v>
      </c>
      <c r="D11" s="3">
        <v>60.749999999999297</v>
      </c>
      <c r="E11" s="3">
        <v>35.510666666664697</v>
      </c>
      <c r="F11" s="3">
        <v>40.929999999999701</v>
      </c>
      <c r="G11" s="3">
        <v>3.7891666666667501</v>
      </c>
      <c r="H11" s="3">
        <v>0.84799999999999998</v>
      </c>
      <c r="L11" t="s">
        <v>30</v>
      </c>
      <c r="M11" s="5">
        <f t="shared" ref="M11:M20" si="6">C11</f>
        <v>44.969999999998997</v>
      </c>
      <c r="N11" s="7">
        <f t="shared" si="0"/>
        <v>60.749999999999297</v>
      </c>
      <c r="O11" s="5">
        <f t="shared" si="0"/>
        <v>35.510666666664697</v>
      </c>
      <c r="P11" s="7">
        <f t="shared" si="0"/>
        <v>40.929999999999701</v>
      </c>
      <c r="Q11" s="5">
        <f t="shared" si="0"/>
        <v>3.7891666666667501</v>
      </c>
      <c r="R11" s="5">
        <f t="shared" si="0"/>
        <v>0.84799999999999998</v>
      </c>
      <c r="S11" s="6">
        <f t="shared" si="4"/>
        <v>2</v>
      </c>
      <c r="T11">
        <f t="shared" si="5"/>
        <v>3.3333333333333335</v>
      </c>
      <c r="U11">
        <f t="shared" si="1"/>
        <v>2</v>
      </c>
      <c r="V11">
        <f t="shared" si="1"/>
        <v>1</v>
      </c>
      <c r="W11">
        <f t="shared" si="1"/>
        <v>5</v>
      </c>
      <c r="X11">
        <f t="shared" si="2"/>
        <v>1</v>
      </c>
      <c r="Y11">
        <f t="shared" si="2"/>
        <v>5</v>
      </c>
      <c r="Z11">
        <f t="shared" si="2"/>
        <v>6</v>
      </c>
    </row>
    <row r="12" spans="1:26">
      <c r="B12" t="s">
        <v>42</v>
      </c>
      <c r="C12" s="3">
        <v>35.480000000000103</v>
      </c>
      <c r="D12" s="3">
        <v>47.720000000000198</v>
      </c>
      <c r="E12" s="3">
        <v>31.45</v>
      </c>
      <c r="F12" s="3">
        <v>58.840000000000401</v>
      </c>
      <c r="G12" s="3">
        <v>2.5533333333333301</v>
      </c>
      <c r="H12" s="3">
        <v>1.56</v>
      </c>
      <c r="L12" t="s">
        <v>43</v>
      </c>
      <c r="M12" s="5">
        <f t="shared" si="6"/>
        <v>35.480000000000103</v>
      </c>
      <c r="N12" s="5">
        <f t="shared" ref="N12:N20" si="7">D12</f>
        <v>47.720000000000198</v>
      </c>
      <c r="O12" s="5">
        <f t="shared" ref="O12:O20" si="8">E12</f>
        <v>31.45</v>
      </c>
      <c r="P12" s="5">
        <f t="shared" ref="P12:P20" si="9">F12</f>
        <v>58.840000000000401</v>
      </c>
      <c r="Q12" s="5">
        <f t="shared" ref="Q12:Q20" si="10">G12</f>
        <v>2.5533333333333301</v>
      </c>
      <c r="R12" s="5">
        <f t="shared" ref="R12:R20" si="11">H12</f>
        <v>1.56</v>
      </c>
      <c r="S12" s="6">
        <f t="shared" si="4"/>
        <v>8</v>
      </c>
      <c r="T12">
        <f t="shared" si="5"/>
        <v>6.833333333333333</v>
      </c>
      <c r="U12">
        <f t="shared" si="1"/>
        <v>8</v>
      </c>
      <c r="V12">
        <f t="shared" si="1"/>
        <v>8</v>
      </c>
      <c r="W12">
        <f t="shared" si="1"/>
        <v>7</v>
      </c>
      <c r="X12">
        <f t="shared" si="2"/>
        <v>8</v>
      </c>
      <c r="Y12">
        <f t="shared" si="2"/>
        <v>2</v>
      </c>
      <c r="Z12">
        <f t="shared" si="2"/>
        <v>8</v>
      </c>
    </row>
    <row r="13" spans="1:26">
      <c r="A13">
        <v>18</v>
      </c>
      <c r="B13" t="s">
        <v>11</v>
      </c>
      <c r="C13" s="3">
        <v>48.1359999999992</v>
      </c>
      <c r="D13" s="3">
        <v>63.397999999999897</v>
      </c>
      <c r="E13" s="3">
        <v>40.501777777777399</v>
      </c>
      <c r="F13" s="3">
        <v>43.107999999999599</v>
      </c>
      <c r="G13" s="3">
        <v>2.9887777777778402</v>
      </c>
      <c r="H13" s="3">
        <v>0.40799999999999997</v>
      </c>
      <c r="K13">
        <v>54</v>
      </c>
      <c r="L13" t="s">
        <v>24</v>
      </c>
      <c r="M13" s="5">
        <f t="shared" si="6"/>
        <v>48.1359999999992</v>
      </c>
      <c r="N13" s="5">
        <f t="shared" si="7"/>
        <v>63.397999999999897</v>
      </c>
      <c r="O13" s="5">
        <f t="shared" si="8"/>
        <v>40.501777777777399</v>
      </c>
      <c r="P13" s="5">
        <f t="shared" si="9"/>
        <v>43.107999999999599</v>
      </c>
      <c r="Q13" s="5">
        <f t="shared" si="10"/>
        <v>2.9887777777778402</v>
      </c>
      <c r="R13" s="5">
        <f t="shared" si="11"/>
        <v>0.40799999999999997</v>
      </c>
      <c r="S13" s="6">
        <f>_xlfn.RANK.EQ(T13,$T$13:$T$20,1)</f>
        <v>1</v>
      </c>
      <c r="T13">
        <f>AVERAGE(U13:Z13)</f>
        <v>2.6666666666666665</v>
      </c>
      <c r="U13">
        <f t="shared" ref="U13:W20" si="12">(_xlfn.RANK.AVG(M13,M$13:M$20))</f>
        <v>2</v>
      </c>
      <c r="V13">
        <f t="shared" si="12"/>
        <v>2</v>
      </c>
      <c r="W13">
        <f t="shared" si="12"/>
        <v>2</v>
      </c>
      <c r="X13">
        <f t="shared" ref="X13:Z20" si="13">(_xlfn.RANK.AVG(P13,P$13:P$20,1))</f>
        <v>2</v>
      </c>
      <c r="Y13">
        <f t="shared" si="13"/>
        <v>4</v>
      </c>
      <c r="Z13">
        <f t="shared" si="13"/>
        <v>4</v>
      </c>
    </row>
    <row r="14" spans="1:26">
      <c r="B14" t="s">
        <v>12</v>
      </c>
      <c r="C14" s="3">
        <v>46.5079999999992</v>
      </c>
      <c r="D14" s="3">
        <v>61.291999999999298</v>
      </c>
      <c r="E14" s="3">
        <v>40.566222222222102</v>
      </c>
      <c r="F14" s="3">
        <v>45.9039999999994</v>
      </c>
      <c r="G14" s="3">
        <v>3.4104444444444999</v>
      </c>
      <c r="H14" s="3">
        <v>0.36</v>
      </c>
      <c r="L14" t="s">
        <v>25</v>
      </c>
      <c r="M14" s="5">
        <f t="shared" si="6"/>
        <v>46.5079999999992</v>
      </c>
      <c r="N14" s="5">
        <f t="shared" si="7"/>
        <v>61.291999999999298</v>
      </c>
      <c r="O14" s="7">
        <f t="shared" si="8"/>
        <v>40.566222222222102</v>
      </c>
      <c r="P14" s="5">
        <f t="shared" si="9"/>
        <v>45.9039999999994</v>
      </c>
      <c r="Q14" s="5">
        <f t="shared" si="10"/>
        <v>3.4104444444444999</v>
      </c>
      <c r="R14" s="7">
        <f t="shared" si="11"/>
        <v>0.36</v>
      </c>
      <c r="S14" s="6">
        <f t="shared" ref="S14:S20" si="14">_xlfn.RANK.EQ(T14,$T$13:$T$20,1)</f>
        <v>2</v>
      </c>
      <c r="T14">
        <f>AVERAGE(U14:Z14)</f>
        <v>3.3333333333333335</v>
      </c>
      <c r="U14">
        <f t="shared" si="12"/>
        <v>3</v>
      </c>
      <c r="V14">
        <f t="shared" si="12"/>
        <v>5</v>
      </c>
      <c r="W14">
        <f t="shared" si="12"/>
        <v>1</v>
      </c>
      <c r="X14">
        <f t="shared" si="13"/>
        <v>4</v>
      </c>
      <c r="Y14">
        <f t="shared" si="13"/>
        <v>6</v>
      </c>
      <c r="Z14">
        <f t="shared" si="13"/>
        <v>1</v>
      </c>
    </row>
    <row r="15" spans="1:26">
      <c r="B15" t="s">
        <v>15</v>
      </c>
      <c r="C15" s="3">
        <v>46.463999999999103</v>
      </c>
      <c r="D15" s="3">
        <v>61.799999999998903</v>
      </c>
      <c r="E15" s="3">
        <v>39.7316666666663</v>
      </c>
      <c r="F15" s="3">
        <v>45.823999999999501</v>
      </c>
      <c r="G15" s="3">
        <v>4.3657777777778604</v>
      </c>
      <c r="H15" s="3">
        <v>0.44600000000000001</v>
      </c>
      <c r="L15" t="s">
        <v>26</v>
      </c>
      <c r="M15" s="5">
        <f t="shared" si="6"/>
        <v>46.463999999999103</v>
      </c>
      <c r="N15" s="5">
        <f t="shared" si="7"/>
        <v>61.799999999998903</v>
      </c>
      <c r="O15" s="5">
        <f t="shared" si="8"/>
        <v>39.7316666666663</v>
      </c>
      <c r="P15" s="5">
        <f t="shared" si="9"/>
        <v>45.823999999999501</v>
      </c>
      <c r="Q15" s="5">
        <f t="shared" si="10"/>
        <v>4.3657777777778604</v>
      </c>
      <c r="R15" s="5">
        <f t="shared" si="11"/>
        <v>0.44600000000000001</v>
      </c>
      <c r="S15" s="6">
        <f t="shared" si="14"/>
        <v>4</v>
      </c>
      <c r="T15">
        <f t="shared" si="5"/>
        <v>4.333333333333333</v>
      </c>
      <c r="U15">
        <f t="shared" si="12"/>
        <v>4</v>
      </c>
      <c r="V15">
        <f t="shared" si="12"/>
        <v>4</v>
      </c>
      <c r="W15">
        <f t="shared" si="12"/>
        <v>3</v>
      </c>
      <c r="X15">
        <f t="shared" si="13"/>
        <v>3</v>
      </c>
      <c r="Y15">
        <f t="shared" si="13"/>
        <v>7</v>
      </c>
      <c r="Z15">
        <f t="shared" si="13"/>
        <v>5</v>
      </c>
    </row>
    <row r="16" spans="1:26">
      <c r="B16" t="s">
        <v>17</v>
      </c>
      <c r="C16" s="3">
        <v>45.621999999999296</v>
      </c>
      <c r="D16" s="3">
        <v>60.236000000000203</v>
      </c>
      <c r="E16" s="3">
        <v>38.630999999999801</v>
      </c>
      <c r="F16" s="3">
        <v>46.360000000000198</v>
      </c>
      <c r="G16" s="3">
        <v>1.76233333333334</v>
      </c>
      <c r="H16" s="3">
        <v>0.38200000000000001</v>
      </c>
      <c r="L16" t="s">
        <v>27</v>
      </c>
      <c r="M16" s="5">
        <f t="shared" si="6"/>
        <v>45.621999999999296</v>
      </c>
      <c r="N16" s="5">
        <f t="shared" si="7"/>
        <v>60.236000000000203</v>
      </c>
      <c r="O16" s="5">
        <f t="shared" si="8"/>
        <v>38.630999999999801</v>
      </c>
      <c r="P16" s="5">
        <f t="shared" si="9"/>
        <v>46.360000000000198</v>
      </c>
      <c r="Q16" s="5">
        <f t="shared" si="10"/>
        <v>1.76233333333334</v>
      </c>
      <c r="R16" s="5">
        <f t="shared" si="11"/>
        <v>0.38200000000000001</v>
      </c>
      <c r="S16" s="6">
        <f t="shared" si="14"/>
        <v>4</v>
      </c>
      <c r="T16">
        <f t="shared" si="5"/>
        <v>4.333333333333333</v>
      </c>
      <c r="U16">
        <f t="shared" si="12"/>
        <v>6</v>
      </c>
      <c r="V16">
        <f t="shared" si="12"/>
        <v>6</v>
      </c>
      <c r="W16">
        <f t="shared" si="12"/>
        <v>5</v>
      </c>
      <c r="X16">
        <f t="shared" si="13"/>
        <v>5</v>
      </c>
      <c r="Y16">
        <f t="shared" si="13"/>
        <v>2</v>
      </c>
      <c r="Z16">
        <f t="shared" si="13"/>
        <v>2</v>
      </c>
    </row>
    <row r="17" spans="1:26">
      <c r="B17" t="s">
        <v>16</v>
      </c>
      <c r="C17" s="3">
        <v>45.125999999999202</v>
      </c>
      <c r="D17" s="3">
        <v>59.989999999999597</v>
      </c>
      <c r="E17" s="3">
        <v>37.941888888888499</v>
      </c>
      <c r="F17" s="3">
        <v>48.331999999998999</v>
      </c>
      <c r="G17" s="3">
        <v>2.5346666666666899</v>
      </c>
      <c r="H17" s="3">
        <v>0.40600000000000003</v>
      </c>
      <c r="L17" t="s">
        <v>28</v>
      </c>
      <c r="M17" s="5">
        <f t="shared" si="6"/>
        <v>45.125999999999202</v>
      </c>
      <c r="N17" s="5">
        <f t="shared" si="7"/>
        <v>59.989999999999597</v>
      </c>
      <c r="O17" s="5">
        <f t="shared" si="8"/>
        <v>37.941888888888499</v>
      </c>
      <c r="P17" s="5">
        <f t="shared" si="9"/>
        <v>48.331999999998999</v>
      </c>
      <c r="Q17" s="5">
        <f t="shared" si="10"/>
        <v>2.5346666666666899</v>
      </c>
      <c r="R17" s="5">
        <f t="shared" si="11"/>
        <v>0.40600000000000003</v>
      </c>
      <c r="S17" s="6">
        <f t="shared" si="14"/>
        <v>6</v>
      </c>
      <c r="T17">
        <f t="shared" si="5"/>
        <v>5.333333333333333</v>
      </c>
      <c r="U17">
        <f t="shared" si="12"/>
        <v>7</v>
      </c>
      <c r="V17">
        <f t="shared" si="12"/>
        <v>7</v>
      </c>
      <c r="W17">
        <f t="shared" si="12"/>
        <v>6</v>
      </c>
      <c r="X17">
        <f t="shared" si="13"/>
        <v>6</v>
      </c>
      <c r="Y17">
        <f t="shared" si="13"/>
        <v>3</v>
      </c>
      <c r="Z17">
        <f t="shared" si="13"/>
        <v>3</v>
      </c>
    </row>
    <row r="18" spans="1:26">
      <c r="B18" t="s">
        <v>13</v>
      </c>
      <c r="C18" s="3">
        <v>45.641999999999101</v>
      </c>
      <c r="D18" s="3">
        <v>62.077999999998397</v>
      </c>
      <c r="E18" s="3">
        <v>30.521222222220299</v>
      </c>
      <c r="F18" s="3">
        <v>55.853999999998898</v>
      </c>
      <c r="G18" s="3">
        <v>6.9010000000002201</v>
      </c>
      <c r="H18" s="3">
        <v>0.53800000000000003</v>
      </c>
      <c r="L18" t="s">
        <v>29</v>
      </c>
      <c r="M18" s="5">
        <f t="shared" si="6"/>
        <v>45.641999999999101</v>
      </c>
      <c r="N18" s="5">
        <f t="shared" si="7"/>
        <v>62.077999999998397</v>
      </c>
      <c r="O18" s="5">
        <f t="shared" si="8"/>
        <v>30.521222222220299</v>
      </c>
      <c r="P18" s="5">
        <f t="shared" si="9"/>
        <v>55.853999999998898</v>
      </c>
      <c r="Q18" s="5">
        <f t="shared" si="10"/>
        <v>6.9010000000002201</v>
      </c>
      <c r="R18" s="5">
        <f t="shared" si="11"/>
        <v>0.53800000000000003</v>
      </c>
      <c r="S18" s="6">
        <f t="shared" si="14"/>
        <v>7</v>
      </c>
      <c r="T18">
        <f t="shared" si="5"/>
        <v>6.333333333333333</v>
      </c>
      <c r="U18">
        <f t="shared" si="12"/>
        <v>5</v>
      </c>
      <c r="V18">
        <f t="shared" si="12"/>
        <v>3</v>
      </c>
      <c r="W18">
        <f t="shared" si="12"/>
        <v>8</v>
      </c>
      <c r="X18">
        <f t="shared" si="13"/>
        <v>7</v>
      </c>
      <c r="Y18">
        <f t="shared" si="13"/>
        <v>8</v>
      </c>
      <c r="Z18">
        <f t="shared" si="13"/>
        <v>7</v>
      </c>
    </row>
    <row r="19" spans="1:26">
      <c r="B19" t="s">
        <v>14</v>
      </c>
      <c r="C19" s="3">
        <v>48.847999999998798</v>
      </c>
      <c r="D19" s="3">
        <v>64.83</v>
      </c>
      <c r="E19" s="3">
        <v>38.730444444444402</v>
      </c>
      <c r="F19" s="3">
        <v>37.481999999999601</v>
      </c>
      <c r="G19" s="3">
        <v>3.1225555555556599</v>
      </c>
      <c r="H19" s="3">
        <v>0.66400000000000003</v>
      </c>
      <c r="L19" t="s">
        <v>30</v>
      </c>
      <c r="M19" s="7">
        <f t="shared" si="6"/>
        <v>48.847999999998798</v>
      </c>
      <c r="N19" s="7">
        <f t="shared" si="7"/>
        <v>64.83</v>
      </c>
      <c r="O19" s="5">
        <f t="shared" si="8"/>
        <v>38.730444444444402</v>
      </c>
      <c r="P19" s="7">
        <f t="shared" si="9"/>
        <v>37.481999999999601</v>
      </c>
      <c r="Q19" s="5">
        <f t="shared" si="10"/>
        <v>3.1225555555556599</v>
      </c>
      <c r="R19" s="5">
        <f t="shared" si="11"/>
        <v>0.66400000000000003</v>
      </c>
      <c r="S19" s="6">
        <f t="shared" si="14"/>
        <v>2</v>
      </c>
      <c r="T19">
        <f t="shared" si="5"/>
        <v>3.3333333333333335</v>
      </c>
      <c r="U19">
        <f t="shared" si="12"/>
        <v>1</v>
      </c>
      <c r="V19">
        <f t="shared" si="12"/>
        <v>1</v>
      </c>
      <c r="W19">
        <f t="shared" si="12"/>
        <v>4</v>
      </c>
      <c r="X19">
        <f t="shared" si="13"/>
        <v>1</v>
      </c>
      <c r="Y19">
        <f t="shared" si="13"/>
        <v>5</v>
      </c>
      <c r="Z19">
        <f t="shared" si="13"/>
        <v>8</v>
      </c>
    </row>
    <row r="20" spans="1:26">
      <c r="B20" t="s">
        <v>42</v>
      </c>
      <c r="C20" s="3">
        <v>37.480000000000103</v>
      </c>
      <c r="D20" s="3">
        <v>50.560000000000201</v>
      </c>
      <c r="E20" s="3">
        <v>33.037777777777897</v>
      </c>
      <c r="F20" s="3">
        <v>57.720000000000297</v>
      </c>
      <c r="G20" s="3">
        <v>1.66444444444444</v>
      </c>
      <c r="H20" s="3">
        <v>0.52</v>
      </c>
      <c r="L20" t="s">
        <v>43</v>
      </c>
      <c r="M20" s="5">
        <f t="shared" si="6"/>
        <v>37.480000000000103</v>
      </c>
      <c r="N20" s="5">
        <f t="shared" si="7"/>
        <v>50.560000000000201</v>
      </c>
      <c r="O20" s="5">
        <f t="shared" si="8"/>
        <v>33.037777777777897</v>
      </c>
      <c r="P20" s="5">
        <f t="shared" si="9"/>
        <v>57.720000000000297</v>
      </c>
      <c r="Q20" s="7">
        <f t="shared" si="10"/>
        <v>1.66444444444444</v>
      </c>
      <c r="R20" s="5">
        <f t="shared" si="11"/>
        <v>0.52</v>
      </c>
      <c r="S20" s="6">
        <f t="shared" si="14"/>
        <v>7</v>
      </c>
      <c r="T20">
        <f t="shared" si="5"/>
        <v>6.333333333333333</v>
      </c>
      <c r="U20">
        <f t="shared" si="12"/>
        <v>8</v>
      </c>
      <c r="V20">
        <f t="shared" si="12"/>
        <v>8</v>
      </c>
      <c r="W20">
        <f t="shared" si="12"/>
        <v>7</v>
      </c>
      <c r="X20">
        <f t="shared" si="13"/>
        <v>8</v>
      </c>
      <c r="Y20">
        <f t="shared" si="13"/>
        <v>1</v>
      </c>
      <c r="Z20">
        <f t="shared" si="13"/>
        <v>6</v>
      </c>
    </row>
    <row r="21" spans="1:26">
      <c r="A21" t="s">
        <v>18</v>
      </c>
      <c r="C21" s="3">
        <v>707.9579999999886</v>
      </c>
      <c r="D21" s="3">
        <v>944.36599999999214</v>
      </c>
      <c r="E21" s="3">
        <v>577.13983333331555</v>
      </c>
      <c r="F21" s="3">
        <v>772.27199999999277</v>
      </c>
      <c r="G21" s="3">
        <v>57.461333333334117</v>
      </c>
      <c r="H21" s="3">
        <v>10.134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3"/>
  <sheetViews>
    <sheetView workbookViewId="0">
      <selection activeCell="A2" sqref="A2:L33"/>
    </sheetView>
  </sheetViews>
  <sheetFormatPr defaultRowHeight="14.7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37</v>
      </c>
      <c r="L1" t="s">
        <v>10</v>
      </c>
    </row>
    <row r="2" spans="1:12">
      <c r="A2">
        <v>12</v>
      </c>
      <c r="B2">
        <v>1</v>
      </c>
      <c r="C2">
        <v>1</v>
      </c>
      <c r="D2">
        <v>45.409999999999201</v>
      </c>
      <c r="E2">
        <v>60.111999999999597</v>
      </c>
      <c r="F2">
        <v>37.305166666664803</v>
      </c>
      <c r="G2">
        <v>52.071666666665401</v>
      </c>
      <c r="H2">
        <v>1.9359999999999999</v>
      </c>
      <c r="I2">
        <v>3.67466666666671</v>
      </c>
      <c r="J2">
        <v>42.436</v>
      </c>
      <c r="K2">
        <v>0.63</v>
      </c>
      <c r="L2" t="s">
        <v>11</v>
      </c>
    </row>
    <row r="3" spans="1:12">
      <c r="A3">
        <v>18</v>
      </c>
      <c r="B3">
        <v>1</v>
      </c>
      <c r="C3">
        <v>1</v>
      </c>
      <c r="D3">
        <v>48.1359999999992</v>
      </c>
      <c r="E3">
        <v>63.397999999999897</v>
      </c>
      <c r="F3">
        <v>40.501777777777399</v>
      </c>
      <c r="G3">
        <v>55.549555555556402</v>
      </c>
      <c r="H3">
        <v>2.54</v>
      </c>
      <c r="I3">
        <v>2.9887777777778402</v>
      </c>
      <c r="J3">
        <v>43.107999999999599</v>
      </c>
      <c r="K3">
        <v>0.40799999999999997</v>
      </c>
      <c r="L3" t="s">
        <v>11</v>
      </c>
    </row>
    <row r="4" spans="1:12">
      <c r="A4">
        <v>12</v>
      </c>
      <c r="B4">
        <v>2</v>
      </c>
      <c r="C4">
        <v>1</v>
      </c>
      <c r="D4">
        <v>43.811999999999401</v>
      </c>
      <c r="E4">
        <v>58.772000000000702</v>
      </c>
      <c r="F4">
        <v>36.600833333331103</v>
      </c>
      <c r="G4">
        <v>50.831666666666699</v>
      </c>
      <c r="H4">
        <v>1.81</v>
      </c>
      <c r="I4">
        <v>3.8008333333333901</v>
      </c>
      <c r="J4">
        <v>48.353999999999502</v>
      </c>
      <c r="K4">
        <v>1.482</v>
      </c>
      <c r="L4" t="s">
        <v>11</v>
      </c>
    </row>
    <row r="5" spans="1:12">
      <c r="A5">
        <v>18</v>
      </c>
      <c r="B5">
        <v>2</v>
      </c>
      <c r="C5">
        <v>1</v>
      </c>
      <c r="D5">
        <v>46.037999999999101</v>
      </c>
      <c r="E5">
        <v>61.294000000000501</v>
      </c>
      <c r="F5">
        <v>39.383555555555297</v>
      </c>
      <c r="G5">
        <v>54.087777777779898</v>
      </c>
      <c r="H5">
        <v>2.2839999999999998</v>
      </c>
      <c r="I5">
        <v>3.16666666666673</v>
      </c>
      <c r="J5">
        <v>47.289999999999502</v>
      </c>
      <c r="K5">
        <v>1.054</v>
      </c>
      <c r="L5" t="s">
        <v>11</v>
      </c>
    </row>
    <row r="6" spans="1:12">
      <c r="A6">
        <v>12</v>
      </c>
      <c r="B6">
        <v>1</v>
      </c>
      <c r="C6">
        <v>1</v>
      </c>
      <c r="D6">
        <v>44.197999999999297</v>
      </c>
      <c r="E6">
        <v>58.7239999999994</v>
      </c>
      <c r="F6">
        <v>37.636833333330998</v>
      </c>
      <c r="G6">
        <v>52.258166666664998</v>
      </c>
      <c r="H6">
        <v>2.2240000000000002</v>
      </c>
      <c r="I6">
        <v>3.8928333333333902</v>
      </c>
      <c r="J6">
        <v>47.589999999999101</v>
      </c>
      <c r="K6">
        <v>0.58799999999999997</v>
      </c>
      <c r="L6" t="s">
        <v>12</v>
      </c>
    </row>
    <row r="7" spans="1:12">
      <c r="A7">
        <v>18</v>
      </c>
      <c r="B7">
        <v>1</v>
      </c>
      <c r="C7">
        <v>1</v>
      </c>
      <c r="D7">
        <v>46.5079999999992</v>
      </c>
      <c r="E7">
        <v>61.291999999999298</v>
      </c>
      <c r="F7">
        <v>40.566222222222102</v>
      </c>
      <c r="G7">
        <v>55.386444444445097</v>
      </c>
      <c r="H7">
        <v>2.774</v>
      </c>
      <c r="I7">
        <v>3.4104444444444999</v>
      </c>
      <c r="J7">
        <v>45.9039999999994</v>
      </c>
      <c r="K7">
        <v>0.36</v>
      </c>
      <c r="L7" t="s">
        <v>12</v>
      </c>
    </row>
    <row r="8" spans="1:12">
      <c r="A8">
        <v>12</v>
      </c>
      <c r="B8">
        <v>2</v>
      </c>
      <c r="C8">
        <v>1</v>
      </c>
      <c r="D8">
        <v>43.635999999999498</v>
      </c>
      <c r="E8">
        <v>58.756000000000299</v>
      </c>
      <c r="F8">
        <v>36.544166666664402</v>
      </c>
      <c r="G8">
        <v>51.151833333333201</v>
      </c>
      <c r="H8">
        <v>2.1160000000000001</v>
      </c>
      <c r="I8">
        <v>4.0750000000000597</v>
      </c>
      <c r="J8">
        <v>48.873999999998901</v>
      </c>
      <c r="K8">
        <v>1.6419999999999899</v>
      </c>
      <c r="L8" t="s">
        <v>12</v>
      </c>
    </row>
    <row r="9" spans="1:12">
      <c r="A9">
        <v>18</v>
      </c>
      <c r="B9">
        <v>2</v>
      </c>
      <c r="C9">
        <v>1</v>
      </c>
      <c r="D9">
        <v>45.801999999999403</v>
      </c>
      <c r="E9">
        <v>61.800000000000097</v>
      </c>
      <c r="F9">
        <v>39.336111111110903</v>
      </c>
      <c r="G9">
        <v>54.918666666668898</v>
      </c>
      <c r="H9">
        <v>2.7480000000000002</v>
      </c>
      <c r="I9">
        <v>3.3865555555556202</v>
      </c>
      <c r="J9">
        <v>46.931999999999199</v>
      </c>
      <c r="K9">
        <v>1.0920000000000001</v>
      </c>
      <c r="L9" t="s">
        <v>12</v>
      </c>
    </row>
    <row r="10" spans="1:12">
      <c r="A10">
        <v>12</v>
      </c>
      <c r="B10">
        <v>1</v>
      </c>
      <c r="C10">
        <v>1</v>
      </c>
      <c r="D10">
        <v>35.480000000000103</v>
      </c>
      <c r="E10">
        <v>47.720000000000198</v>
      </c>
      <c r="F10">
        <v>31.45</v>
      </c>
      <c r="G10">
        <v>43.196666666666701</v>
      </c>
      <c r="H10">
        <v>4.4800000000000004</v>
      </c>
      <c r="I10">
        <v>2.5533333333333301</v>
      </c>
      <c r="J10">
        <v>58.840000000000401</v>
      </c>
      <c r="K10">
        <v>1.56</v>
      </c>
      <c r="L10" t="s">
        <v>42</v>
      </c>
    </row>
    <row r="11" spans="1:12">
      <c r="A11">
        <v>18</v>
      </c>
      <c r="B11">
        <v>1</v>
      </c>
      <c r="C11">
        <v>1</v>
      </c>
      <c r="D11">
        <v>37.480000000000103</v>
      </c>
      <c r="E11">
        <v>50.560000000000201</v>
      </c>
      <c r="F11">
        <v>33.037777777777897</v>
      </c>
      <c r="G11">
        <v>46.217777777777897</v>
      </c>
      <c r="H11">
        <v>5.68</v>
      </c>
      <c r="I11">
        <v>1.66444444444444</v>
      </c>
      <c r="J11">
        <v>57.720000000000297</v>
      </c>
      <c r="K11">
        <v>0.52</v>
      </c>
      <c r="L11" t="s">
        <v>42</v>
      </c>
    </row>
    <row r="12" spans="1:12">
      <c r="A12">
        <v>12</v>
      </c>
      <c r="B12">
        <v>2</v>
      </c>
      <c r="C12">
        <v>1</v>
      </c>
      <c r="D12">
        <v>43.6400000000001</v>
      </c>
      <c r="E12">
        <v>62.200000000000301</v>
      </c>
      <c r="F12">
        <v>34.14</v>
      </c>
      <c r="G12">
        <v>53.443333333333399</v>
      </c>
      <c r="H12">
        <v>5.64</v>
      </c>
      <c r="I12">
        <v>9.5233333333333405</v>
      </c>
      <c r="J12">
        <v>50.400000000000198</v>
      </c>
      <c r="K12">
        <v>6.24</v>
      </c>
      <c r="L12" t="s">
        <v>42</v>
      </c>
    </row>
    <row r="13" spans="1:12">
      <c r="A13">
        <v>18</v>
      </c>
      <c r="B13">
        <v>2</v>
      </c>
      <c r="C13">
        <v>1</v>
      </c>
      <c r="D13">
        <v>44.160000000000103</v>
      </c>
      <c r="E13">
        <v>64.840000000000401</v>
      </c>
      <c r="F13">
        <v>36.973333333333599</v>
      </c>
      <c r="G13">
        <v>57.520000000000302</v>
      </c>
      <c r="H13">
        <v>6.2</v>
      </c>
      <c r="I13">
        <v>7.9199999999999697</v>
      </c>
      <c r="J13">
        <v>48.6400000000002</v>
      </c>
      <c r="K13">
        <v>3.68</v>
      </c>
      <c r="L13" t="s">
        <v>42</v>
      </c>
    </row>
    <row r="14" spans="1:12">
      <c r="A14">
        <v>12</v>
      </c>
      <c r="B14">
        <v>1</v>
      </c>
      <c r="C14">
        <v>1</v>
      </c>
      <c r="D14">
        <v>43.5379999999993</v>
      </c>
      <c r="E14">
        <v>59.4399999999982</v>
      </c>
      <c r="F14">
        <v>27.8808333333311</v>
      </c>
      <c r="G14">
        <v>43.270166666664899</v>
      </c>
      <c r="H14">
        <v>2.548</v>
      </c>
      <c r="I14">
        <v>7.2291666666666803</v>
      </c>
      <c r="J14">
        <v>55.083999999998099</v>
      </c>
      <c r="K14">
        <v>0.91</v>
      </c>
      <c r="L14" t="s">
        <v>13</v>
      </c>
    </row>
    <row r="15" spans="1:12">
      <c r="A15">
        <v>18</v>
      </c>
      <c r="B15">
        <v>1</v>
      </c>
      <c r="C15">
        <v>1</v>
      </c>
      <c r="D15">
        <v>45.641999999999101</v>
      </c>
      <c r="E15">
        <v>62.077999999998397</v>
      </c>
      <c r="F15">
        <v>30.521222222220299</v>
      </c>
      <c r="G15">
        <v>46.082111111110002</v>
      </c>
      <c r="H15">
        <v>3.3119999999999998</v>
      </c>
      <c r="I15">
        <v>6.9010000000002201</v>
      </c>
      <c r="J15">
        <v>55.853999999998898</v>
      </c>
      <c r="K15">
        <v>0.53800000000000003</v>
      </c>
      <c r="L15" t="s">
        <v>13</v>
      </c>
    </row>
    <row r="16" spans="1:12">
      <c r="A16">
        <v>12</v>
      </c>
      <c r="B16">
        <v>2</v>
      </c>
      <c r="C16">
        <v>1</v>
      </c>
      <c r="D16">
        <v>43.827999999999903</v>
      </c>
      <c r="E16">
        <v>62.449999999999598</v>
      </c>
      <c r="F16">
        <v>28.879666666664502</v>
      </c>
      <c r="G16">
        <v>50.371999999998501</v>
      </c>
      <c r="H16">
        <v>2.456</v>
      </c>
      <c r="I16">
        <v>7.2851666666667096</v>
      </c>
      <c r="J16">
        <v>53.151999999998402</v>
      </c>
      <c r="K16">
        <v>2.01399999999999</v>
      </c>
      <c r="L16" t="s">
        <v>13</v>
      </c>
    </row>
    <row r="17" spans="1:12">
      <c r="A17">
        <v>18</v>
      </c>
      <c r="B17">
        <v>2</v>
      </c>
      <c r="C17">
        <v>1</v>
      </c>
      <c r="D17">
        <v>46.061999999999401</v>
      </c>
      <c r="E17">
        <v>65.215999999999497</v>
      </c>
      <c r="F17">
        <v>31.954222222220199</v>
      </c>
      <c r="G17">
        <v>55.198333333333103</v>
      </c>
      <c r="H17">
        <v>3.0419999999999998</v>
      </c>
      <c r="I17">
        <v>6.9598888888891199</v>
      </c>
      <c r="J17">
        <v>53.491999999999202</v>
      </c>
      <c r="K17">
        <v>1.4319999999999999</v>
      </c>
      <c r="L17" t="s">
        <v>13</v>
      </c>
    </row>
    <row r="18" spans="1:12">
      <c r="A18">
        <v>12</v>
      </c>
      <c r="B18">
        <v>1</v>
      </c>
      <c r="C18">
        <v>1</v>
      </c>
      <c r="D18">
        <v>44.969999999998997</v>
      </c>
      <c r="E18">
        <v>60.749999999999297</v>
      </c>
      <c r="F18">
        <v>35.510666666664697</v>
      </c>
      <c r="G18">
        <v>50.7191666666656</v>
      </c>
      <c r="H18">
        <v>2.1259999999999999</v>
      </c>
      <c r="I18">
        <v>3.7891666666667501</v>
      </c>
      <c r="J18">
        <v>40.929999999999701</v>
      </c>
      <c r="K18">
        <v>0.84799999999999998</v>
      </c>
      <c r="L18" t="s">
        <v>14</v>
      </c>
    </row>
    <row r="19" spans="1:12">
      <c r="A19">
        <v>18</v>
      </c>
      <c r="B19">
        <v>1</v>
      </c>
      <c r="C19">
        <v>1</v>
      </c>
      <c r="D19">
        <v>48.847999999998798</v>
      </c>
      <c r="E19">
        <v>64.83</v>
      </c>
      <c r="F19">
        <v>38.730444444444402</v>
      </c>
      <c r="G19">
        <v>53.773333333333497</v>
      </c>
      <c r="H19">
        <v>3.448</v>
      </c>
      <c r="I19">
        <v>3.1225555555556599</v>
      </c>
      <c r="J19">
        <v>37.481999999999601</v>
      </c>
      <c r="K19">
        <v>0.66400000000000003</v>
      </c>
      <c r="L19" t="s">
        <v>14</v>
      </c>
    </row>
    <row r="20" spans="1:12">
      <c r="A20">
        <v>12</v>
      </c>
      <c r="B20">
        <v>2</v>
      </c>
      <c r="C20">
        <v>1</v>
      </c>
      <c r="D20">
        <v>45.3299999999996</v>
      </c>
      <c r="E20">
        <v>64.152000000000001</v>
      </c>
      <c r="F20">
        <v>34.586833333331299</v>
      </c>
      <c r="G20">
        <v>51.647499999999702</v>
      </c>
      <c r="H20">
        <v>1.9079999999999999</v>
      </c>
      <c r="I20">
        <v>5.1121666666667798</v>
      </c>
      <c r="J20">
        <v>39.110000000000198</v>
      </c>
      <c r="K20">
        <v>2.3879999999999799</v>
      </c>
      <c r="L20" t="s">
        <v>14</v>
      </c>
    </row>
    <row r="21" spans="1:12">
      <c r="A21">
        <v>18</v>
      </c>
      <c r="B21">
        <v>2</v>
      </c>
      <c r="C21">
        <v>1</v>
      </c>
      <c r="D21">
        <v>47.979999999999002</v>
      </c>
      <c r="E21">
        <v>67.280000000000499</v>
      </c>
      <c r="F21">
        <v>37.5562222222214</v>
      </c>
      <c r="G21">
        <v>54.482555555556203</v>
      </c>
      <c r="H21">
        <v>3</v>
      </c>
      <c r="I21">
        <v>4.07488888888905</v>
      </c>
      <c r="J21">
        <v>36.8560000000004</v>
      </c>
      <c r="K21">
        <v>1.76199999999999</v>
      </c>
      <c r="L21" t="s">
        <v>14</v>
      </c>
    </row>
    <row r="22" spans="1:12">
      <c r="A22">
        <v>12</v>
      </c>
      <c r="B22">
        <v>1</v>
      </c>
      <c r="C22">
        <v>1</v>
      </c>
      <c r="D22">
        <v>44.247999999999202</v>
      </c>
      <c r="E22">
        <v>58.931999999999</v>
      </c>
      <c r="F22">
        <v>36.881666666664401</v>
      </c>
      <c r="G22">
        <v>51.790166666665201</v>
      </c>
      <c r="H22">
        <v>1.472</v>
      </c>
      <c r="I22">
        <v>4.9146666666667196</v>
      </c>
      <c r="J22">
        <v>47.685999999999098</v>
      </c>
      <c r="K22">
        <v>0.72199999999999998</v>
      </c>
      <c r="L22" t="s">
        <v>15</v>
      </c>
    </row>
    <row r="23" spans="1:12">
      <c r="A23">
        <v>18</v>
      </c>
      <c r="B23">
        <v>1</v>
      </c>
      <c r="C23">
        <v>1</v>
      </c>
      <c r="D23">
        <v>46.463999999999103</v>
      </c>
      <c r="E23">
        <v>61.799999999998903</v>
      </c>
      <c r="F23">
        <v>39.7316666666663</v>
      </c>
      <c r="G23">
        <v>54.992666666666899</v>
      </c>
      <c r="H23">
        <v>2.0099999999999998</v>
      </c>
      <c r="I23">
        <v>4.3657777777778604</v>
      </c>
      <c r="J23">
        <v>45.823999999999501</v>
      </c>
      <c r="K23">
        <v>0.44600000000000001</v>
      </c>
      <c r="L23" t="s">
        <v>15</v>
      </c>
    </row>
    <row r="24" spans="1:12">
      <c r="A24">
        <v>12</v>
      </c>
      <c r="B24">
        <v>2</v>
      </c>
      <c r="C24">
        <v>1</v>
      </c>
      <c r="D24">
        <v>43.739999999999803</v>
      </c>
      <c r="E24">
        <v>59.8719999999999</v>
      </c>
      <c r="F24">
        <v>36.171999999997901</v>
      </c>
      <c r="G24">
        <v>51.811500000000002</v>
      </c>
      <c r="H24">
        <v>1.482</v>
      </c>
      <c r="I24">
        <v>5.0973333333333901</v>
      </c>
      <c r="J24">
        <v>48.209999999998999</v>
      </c>
      <c r="K24">
        <v>1.68799999999999</v>
      </c>
      <c r="L24" t="s">
        <v>15</v>
      </c>
    </row>
    <row r="25" spans="1:12">
      <c r="A25">
        <v>18</v>
      </c>
      <c r="B25">
        <v>2</v>
      </c>
      <c r="C25">
        <v>1</v>
      </c>
      <c r="D25">
        <v>45.841999999999402</v>
      </c>
      <c r="E25">
        <v>62.937999999999697</v>
      </c>
      <c r="F25">
        <v>38.781666666666403</v>
      </c>
      <c r="G25">
        <v>55.7395555555577</v>
      </c>
      <c r="H25">
        <v>2</v>
      </c>
      <c r="I25">
        <v>4.4823333333334201</v>
      </c>
      <c r="J25">
        <v>46.617999999999299</v>
      </c>
      <c r="K25">
        <v>1.21</v>
      </c>
      <c r="L25" t="s">
        <v>15</v>
      </c>
    </row>
    <row r="26" spans="1:12">
      <c r="A26">
        <v>12</v>
      </c>
      <c r="B26">
        <v>1</v>
      </c>
      <c r="C26">
        <v>1</v>
      </c>
      <c r="D26">
        <v>43.095999999999201</v>
      </c>
      <c r="E26">
        <v>57.381999999999699</v>
      </c>
      <c r="F26">
        <v>35.130833333331402</v>
      </c>
      <c r="G26">
        <v>48.368666666665199</v>
      </c>
      <c r="H26">
        <v>2.6219999999999999</v>
      </c>
      <c r="I26">
        <v>2.6778333333333402</v>
      </c>
      <c r="J26">
        <v>50.145999999999397</v>
      </c>
      <c r="K26">
        <v>0.55800000000000005</v>
      </c>
      <c r="L26" t="s">
        <v>16</v>
      </c>
    </row>
    <row r="27" spans="1:12">
      <c r="A27">
        <v>18</v>
      </c>
      <c r="B27">
        <v>1</v>
      </c>
      <c r="C27">
        <v>1</v>
      </c>
      <c r="D27">
        <v>45.125999999999202</v>
      </c>
      <c r="E27">
        <v>59.989999999999597</v>
      </c>
      <c r="F27">
        <v>37.941888888888499</v>
      </c>
      <c r="G27">
        <v>51.744222222222596</v>
      </c>
      <c r="H27">
        <v>3.4279999999999999</v>
      </c>
      <c r="I27">
        <v>2.5346666666666899</v>
      </c>
      <c r="J27">
        <v>48.331999999998999</v>
      </c>
      <c r="K27">
        <v>0.40600000000000003</v>
      </c>
      <c r="L27" t="s">
        <v>16</v>
      </c>
    </row>
    <row r="28" spans="1:12">
      <c r="A28">
        <v>12</v>
      </c>
      <c r="B28">
        <v>2</v>
      </c>
      <c r="C28">
        <v>1</v>
      </c>
      <c r="D28">
        <v>42.7599999999996</v>
      </c>
      <c r="E28">
        <v>57.924000000000497</v>
      </c>
      <c r="F28">
        <v>34.627166666664699</v>
      </c>
      <c r="G28">
        <v>47.886000000000003</v>
      </c>
      <c r="H28">
        <v>2.6360000000000001</v>
      </c>
      <c r="I28">
        <v>2.7228333333333401</v>
      </c>
      <c r="J28">
        <v>50.661999999999303</v>
      </c>
      <c r="K28">
        <v>1.4379999999999999</v>
      </c>
      <c r="L28" t="s">
        <v>16</v>
      </c>
    </row>
    <row r="29" spans="1:12">
      <c r="A29">
        <v>18</v>
      </c>
      <c r="B29">
        <v>2</v>
      </c>
      <c r="C29">
        <v>1</v>
      </c>
      <c r="D29">
        <v>44.959999999999503</v>
      </c>
      <c r="E29">
        <v>60.698000000000199</v>
      </c>
      <c r="F29">
        <v>37.281444444443999</v>
      </c>
      <c r="G29">
        <v>51.760444444446399</v>
      </c>
      <c r="H29">
        <v>3.23</v>
      </c>
      <c r="I29">
        <v>2.5522222222222499</v>
      </c>
      <c r="J29">
        <v>48.793999999998903</v>
      </c>
      <c r="K29">
        <v>1.1180000000000001</v>
      </c>
      <c r="L29" t="s">
        <v>16</v>
      </c>
    </row>
    <row r="30" spans="1:12">
      <c r="A30">
        <v>12</v>
      </c>
      <c r="B30">
        <v>1</v>
      </c>
      <c r="C30">
        <v>1</v>
      </c>
      <c r="D30">
        <v>43.191999999999297</v>
      </c>
      <c r="E30">
        <v>57.122000000000199</v>
      </c>
      <c r="F30">
        <v>35.681833333331397</v>
      </c>
      <c r="G30">
        <v>48.694333333332203</v>
      </c>
      <c r="H30">
        <v>3.3039999999999998</v>
      </c>
      <c r="I30">
        <v>1.97966666666666</v>
      </c>
      <c r="J30">
        <v>48.976000000000397</v>
      </c>
      <c r="K30">
        <v>0.59399999999999997</v>
      </c>
      <c r="L30" t="s">
        <v>17</v>
      </c>
    </row>
    <row r="31" spans="1:12">
      <c r="A31">
        <v>18</v>
      </c>
      <c r="B31">
        <v>1</v>
      </c>
      <c r="C31">
        <v>1</v>
      </c>
      <c r="D31">
        <v>45.621999999999296</v>
      </c>
      <c r="E31">
        <v>60.236000000000203</v>
      </c>
      <c r="F31">
        <v>38.630999999999801</v>
      </c>
      <c r="G31">
        <v>52.375555555556502</v>
      </c>
      <c r="H31">
        <v>4.6260000000000003</v>
      </c>
      <c r="I31">
        <v>1.76233333333334</v>
      </c>
      <c r="J31">
        <v>46.360000000000198</v>
      </c>
      <c r="K31">
        <v>0.38200000000000001</v>
      </c>
      <c r="L31" t="s">
        <v>17</v>
      </c>
    </row>
    <row r="32" spans="1:12">
      <c r="A32">
        <v>12</v>
      </c>
      <c r="B32">
        <v>2</v>
      </c>
      <c r="C32">
        <v>1</v>
      </c>
      <c r="D32">
        <v>42.521999999999302</v>
      </c>
      <c r="E32">
        <v>56.090000000000899</v>
      </c>
      <c r="F32">
        <v>34.681833333331497</v>
      </c>
      <c r="G32">
        <v>46.420833333333597</v>
      </c>
      <c r="H32">
        <v>3.1960000000000002</v>
      </c>
      <c r="I32">
        <v>2.0248333333333299</v>
      </c>
      <c r="J32">
        <v>50.384000000000299</v>
      </c>
      <c r="K32">
        <v>1.208</v>
      </c>
      <c r="L32" t="s">
        <v>17</v>
      </c>
    </row>
    <row r="33" spans="1:12">
      <c r="A33">
        <v>18</v>
      </c>
      <c r="B33">
        <v>2</v>
      </c>
      <c r="C33">
        <v>1</v>
      </c>
      <c r="D33">
        <v>44.825999999998999</v>
      </c>
      <c r="E33">
        <v>58.8940000000011</v>
      </c>
      <c r="F33">
        <v>37.330888888888701</v>
      </c>
      <c r="G33">
        <v>49.7812222222245</v>
      </c>
      <c r="H33">
        <v>4.3979999999999997</v>
      </c>
      <c r="I33">
        <v>1.77922222222224</v>
      </c>
      <c r="J33">
        <v>48.086000000000098</v>
      </c>
      <c r="K33">
        <v>1.03</v>
      </c>
      <c r="L3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OutputTable</vt:lpstr>
      <vt:lpstr>efficacy</vt:lpstr>
      <vt:lpstr>utility</vt:lpstr>
      <vt:lpstr>simres.csv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shl</cp:lastModifiedBy>
  <dcterms:created xsi:type="dcterms:W3CDTF">2022-03-09T23:05:10Z</dcterms:created>
  <dcterms:modified xsi:type="dcterms:W3CDTF">2022-08-31T16:30:19Z</dcterms:modified>
</cp:coreProperties>
</file>