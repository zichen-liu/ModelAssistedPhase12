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r\functional\comparedesign\Rev\code v3\NDOSE3\"/>
    </mc:Choice>
  </mc:AlternateContent>
  <xr:revisionPtr revIDLastSave="0" documentId="13_ncr:1_{E8846CCE-53DB-4AE5-8F4E-351009CF691A}" xr6:coauthVersionLast="47" xr6:coauthVersionMax="47" xr10:uidLastSave="{00000000-0000-0000-0000-000000000000}"/>
  <bookViews>
    <workbookView xWindow="-90" yWindow="-90" windowWidth="19380" windowHeight="9765" xr2:uid="{00000000-000D-0000-FFFF-FFFF00000000}"/>
  </bookViews>
  <sheets>
    <sheet name="Outputtable" sheetId="5" r:id="rId1"/>
    <sheet name="efficacy" sheetId="4" r:id="rId2"/>
    <sheet name="utility" sheetId="2" r:id="rId3"/>
    <sheet name="simres.csv" sheetId="1" r:id="rId4"/>
  </sheets>
  <calcPr calcId="191029"/>
  <pivotCaches>
    <pivotCache cacheId="0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35" i="5" l="1"/>
  <c r="I34" i="5"/>
  <c r="I33" i="5"/>
  <c r="I32" i="5"/>
  <c r="I31" i="5"/>
  <c r="I30" i="5"/>
  <c r="I29" i="5"/>
  <c r="I27" i="5"/>
  <c r="I26" i="5"/>
  <c r="I25" i="5"/>
  <c r="I24" i="5"/>
  <c r="I23" i="5"/>
  <c r="I22" i="5"/>
  <c r="I21" i="5"/>
  <c r="I18" i="5"/>
  <c r="I17" i="5"/>
  <c r="I16" i="5"/>
  <c r="I15" i="5"/>
  <c r="I14" i="5"/>
  <c r="I13" i="5"/>
  <c r="I12" i="5"/>
  <c r="I10" i="5"/>
  <c r="I9" i="5"/>
  <c r="I8" i="5"/>
  <c r="I7" i="5"/>
  <c r="I6" i="5"/>
  <c r="I5" i="5"/>
  <c r="I4" i="5"/>
  <c r="T3" i="4" a="1"/>
  <c r="T3" i="4" s="1"/>
  <c r="H27" i="5" l="1"/>
  <c r="G27" i="5"/>
  <c r="F27" i="5"/>
  <c r="E27" i="5"/>
  <c r="D27" i="5"/>
  <c r="C27" i="5"/>
  <c r="H26" i="5"/>
  <c r="G26" i="5"/>
  <c r="F26" i="5"/>
  <c r="E26" i="5"/>
  <c r="D26" i="5"/>
  <c r="C26" i="5"/>
  <c r="H25" i="5"/>
  <c r="G25" i="5"/>
  <c r="F25" i="5"/>
  <c r="E25" i="5"/>
  <c r="D25" i="5"/>
  <c r="C25" i="5"/>
  <c r="H24" i="5"/>
  <c r="G24" i="5"/>
  <c r="F24" i="5"/>
  <c r="E24" i="5"/>
  <c r="D24" i="5"/>
  <c r="C24" i="5"/>
  <c r="H23" i="5"/>
  <c r="G23" i="5"/>
  <c r="F23" i="5"/>
  <c r="E23" i="5"/>
  <c r="D23" i="5"/>
  <c r="C23" i="5"/>
  <c r="H22" i="5"/>
  <c r="G22" i="5"/>
  <c r="F22" i="5"/>
  <c r="E22" i="5"/>
  <c r="D22" i="5"/>
  <c r="C22" i="5"/>
  <c r="H21" i="5"/>
  <c r="G21" i="5"/>
  <c r="F21" i="5"/>
  <c r="E21" i="5"/>
  <c r="D21" i="5"/>
  <c r="C21" i="5"/>
  <c r="B4" i="5"/>
  <c r="B5" i="5"/>
  <c r="B6" i="5"/>
  <c r="B7" i="5"/>
  <c r="B8" i="5"/>
  <c r="B9" i="5"/>
  <c r="B10" i="5"/>
  <c r="B29" i="5" l="1"/>
  <c r="B30" i="5"/>
  <c r="B31" i="5"/>
  <c r="B32" i="5"/>
  <c r="B33" i="5"/>
  <c r="B34" i="5"/>
  <c r="B35" i="5"/>
  <c r="B21" i="5"/>
  <c r="B22" i="5"/>
  <c r="B23" i="5"/>
  <c r="B24" i="5"/>
  <c r="B25" i="5"/>
  <c r="B26" i="5"/>
  <c r="B27" i="5"/>
  <c r="B12" i="5"/>
  <c r="B13" i="5"/>
  <c r="B14" i="5"/>
  <c r="B15" i="5"/>
  <c r="B16" i="5"/>
  <c r="B17" i="5"/>
  <c r="E34" i="5"/>
  <c r="B18" i="5"/>
  <c r="R19" i="4"/>
  <c r="H18" i="5" s="1"/>
  <c r="Q19" i="4"/>
  <c r="G18" i="5" s="1"/>
  <c r="P19" i="4"/>
  <c r="F18" i="5" s="1"/>
  <c r="O19" i="4"/>
  <c r="E18" i="5" s="1"/>
  <c r="N19" i="4"/>
  <c r="D18" i="5" s="1"/>
  <c r="M19" i="4"/>
  <c r="C18" i="5" s="1"/>
  <c r="R18" i="4"/>
  <c r="H17" i="5" s="1"/>
  <c r="Q18" i="4"/>
  <c r="G17" i="5" s="1"/>
  <c r="P18" i="4"/>
  <c r="F17" i="5" s="1"/>
  <c r="O18" i="4"/>
  <c r="E17" i="5" s="1"/>
  <c r="N18" i="4"/>
  <c r="D17" i="5" s="1"/>
  <c r="M18" i="4"/>
  <c r="C17" i="5" s="1"/>
  <c r="R17" i="4"/>
  <c r="H16" i="5" s="1"/>
  <c r="Q17" i="4"/>
  <c r="G16" i="5" s="1"/>
  <c r="P17" i="4"/>
  <c r="F16" i="5" s="1"/>
  <c r="O17" i="4"/>
  <c r="E16" i="5" s="1"/>
  <c r="N17" i="4"/>
  <c r="D16" i="5" s="1"/>
  <c r="M17" i="4"/>
  <c r="C16" i="5" s="1"/>
  <c r="R16" i="4"/>
  <c r="H15" i="5" s="1"/>
  <c r="Q16" i="4"/>
  <c r="G15" i="5" s="1"/>
  <c r="P16" i="4"/>
  <c r="F15" i="5" s="1"/>
  <c r="O16" i="4"/>
  <c r="E15" i="5" s="1"/>
  <c r="N16" i="4"/>
  <c r="D15" i="5" s="1"/>
  <c r="M16" i="4"/>
  <c r="C15" i="5" s="1"/>
  <c r="R15" i="4"/>
  <c r="H14" i="5" s="1"/>
  <c r="Q15" i="4"/>
  <c r="G14" i="5" s="1"/>
  <c r="P15" i="4"/>
  <c r="F14" i="5" s="1"/>
  <c r="O15" i="4"/>
  <c r="E14" i="5" s="1"/>
  <c r="N15" i="4"/>
  <c r="D14" i="5" s="1"/>
  <c r="M15" i="4"/>
  <c r="C14" i="5" s="1"/>
  <c r="R14" i="4"/>
  <c r="H13" i="5" s="1"/>
  <c r="Q14" i="4"/>
  <c r="Y14" i="4" s="1"/>
  <c r="P14" i="4"/>
  <c r="F13" i="5" s="1"/>
  <c r="O14" i="4"/>
  <c r="E13" i="5" s="1"/>
  <c r="N14" i="4"/>
  <c r="D13" i="5" s="1"/>
  <c r="M14" i="4"/>
  <c r="C13" i="5" s="1"/>
  <c r="R13" i="4"/>
  <c r="H12" i="5" s="1"/>
  <c r="Q13" i="4"/>
  <c r="G12" i="5" s="1"/>
  <c r="P13" i="4"/>
  <c r="F12" i="5" s="1"/>
  <c r="O13" i="4"/>
  <c r="E12" i="5" s="1"/>
  <c r="N13" i="4"/>
  <c r="D12" i="5" s="1"/>
  <c r="M13" i="4"/>
  <c r="C12" i="5" s="1"/>
  <c r="R11" i="4"/>
  <c r="Q11" i="4"/>
  <c r="P11" i="4"/>
  <c r="O11" i="4"/>
  <c r="N11" i="4"/>
  <c r="M11" i="4"/>
  <c r="R10" i="4"/>
  <c r="Q10" i="4"/>
  <c r="P10" i="4"/>
  <c r="O10" i="4"/>
  <c r="N10" i="4"/>
  <c r="M10" i="4"/>
  <c r="R9" i="4"/>
  <c r="Q9" i="4"/>
  <c r="P9" i="4"/>
  <c r="O9" i="4"/>
  <c r="N9" i="4"/>
  <c r="M9" i="4"/>
  <c r="R8" i="4"/>
  <c r="Q8" i="4"/>
  <c r="P8" i="4"/>
  <c r="O8" i="4"/>
  <c r="N8" i="4"/>
  <c r="M8" i="4"/>
  <c r="R7" i="4"/>
  <c r="Q7" i="4"/>
  <c r="P7" i="4"/>
  <c r="O7" i="4"/>
  <c r="N7" i="4"/>
  <c r="M7" i="4"/>
  <c r="R6" i="4"/>
  <c r="Q6" i="4"/>
  <c r="P6" i="4"/>
  <c r="O6" i="4"/>
  <c r="N6" i="4"/>
  <c r="M6" i="4"/>
  <c r="R5" i="4"/>
  <c r="Q5" i="4"/>
  <c r="P5" i="4"/>
  <c r="O5" i="4"/>
  <c r="N5" i="4"/>
  <c r="M5" i="4"/>
  <c r="M13" i="2"/>
  <c r="C29" i="5" s="1"/>
  <c r="N13" i="2"/>
  <c r="D29" i="5" s="1"/>
  <c r="O13" i="2"/>
  <c r="E29" i="5" s="1"/>
  <c r="P13" i="2"/>
  <c r="F29" i="5" s="1"/>
  <c r="Q13" i="2"/>
  <c r="G29" i="5" s="1"/>
  <c r="R13" i="2"/>
  <c r="H29" i="5" s="1"/>
  <c r="M14" i="2"/>
  <c r="C30" i="5" s="1"/>
  <c r="N14" i="2"/>
  <c r="V13" i="2" s="1"/>
  <c r="O14" i="2"/>
  <c r="P14" i="2"/>
  <c r="F30" i="5" s="1"/>
  <c r="Q14" i="2"/>
  <c r="G30" i="5" s="1"/>
  <c r="R14" i="2"/>
  <c r="H30" i="5" s="1"/>
  <c r="M15" i="2"/>
  <c r="C31" i="5" s="1"/>
  <c r="N15" i="2"/>
  <c r="D31" i="5" s="1"/>
  <c r="O15" i="2"/>
  <c r="E31" i="5" s="1"/>
  <c r="P15" i="2"/>
  <c r="F31" i="5" s="1"/>
  <c r="Q15" i="2"/>
  <c r="G31" i="5" s="1"/>
  <c r="R15" i="2"/>
  <c r="H31" i="5" s="1"/>
  <c r="M16" i="2"/>
  <c r="C32" i="5" s="1"/>
  <c r="N16" i="2"/>
  <c r="O16" i="2"/>
  <c r="P16" i="2"/>
  <c r="Q16" i="2"/>
  <c r="G32" i="5" s="1"/>
  <c r="R16" i="2"/>
  <c r="H32" i="5" s="1"/>
  <c r="M17" i="2"/>
  <c r="C33" i="5" s="1"/>
  <c r="N17" i="2"/>
  <c r="D33" i="5" s="1"/>
  <c r="O17" i="2"/>
  <c r="E33" i="5" s="1"/>
  <c r="P17" i="2"/>
  <c r="F33" i="5" s="1"/>
  <c r="Q17" i="2"/>
  <c r="G33" i="5" s="1"/>
  <c r="R17" i="2"/>
  <c r="H33" i="5" s="1"/>
  <c r="M18" i="2"/>
  <c r="C34" i="5" s="1"/>
  <c r="N18" i="2"/>
  <c r="D34" i="5" s="1"/>
  <c r="O18" i="2"/>
  <c r="W18" i="2" s="1"/>
  <c r="P18" i="2"/>
  <c r="Q18" i="2"/>
  <c r="G34" i="5" s="1"/>
  <c r="R18" i="2"/>
  <c r="H34" i="5" s="1"/>
  <c r="M19" i="2"/>
  <c r="U19" i="2" s="1"/>
  <c r="N19" i="2"/>
  <c r="D35" i="5" s="1"/>
  <c r="O19" i="2"/>
  <c r="E35" i="5" s="1"/>
  <c r="P19" i="2"/>
  <c r="F35" i="5" s="1"/>
  <c r="Q19" i="2"/>
  <c r="G35" i="5" s="1"/>
  <c r="R19" i="2"/>
  <c r="H35" i="5" s="1"/>
  <c r="W17" i="2"/>
  <c r="R6" i="2"/>
  <c r="R7" i="2"/>
  <c r="R8" i="2"/>
  <c r="R9" i="2"/>
  <c r="R10" i="2"/>
  <c r="R11" i="2"/>
  <c r="R5" i="2"/>
  <c r="Q11" i="2"/>
  <c r="P11" i="2"/>
  <c r="O11" i="2"/>
  <c r="N11" i="2"/>
  <c r="M11" i="2"/>
  <c r="Q10" i="2"/>
  <c r="P10" i="2"/>
  <c r="O10" i="2"/>
  <c r="N10" i="2"/>
  <c r="M10" i="2"/>
  <c r="Q9" i="2"/>
  <c r="P9" i="2"/>
  <c r="O9" i="2"/>
  <c r="N9" i="2"/>
  <c r="M9" i="2"/>
  <c r="Q8" i="2"/>
  <c r="P8" i="2"/>
  <c r="O8" i="2"/>
  <c r="N8" i="2"/>
  <c r="M8" i="2"/>
  <c r="Q7" i="2"/>
  <c r="P7" i="2"/>
  <c r="O7" i="2"/>
  <c r="N7" i="2"/>
  <c r="M7" i="2"/>
  <c r="Q6" i="2"/>
  <c r="P6" i="2"/>
  <c r="O6" i="2"/>
  <c r="N6" i="2"/>
  <c r="M6" i="2"/>
  <c r="Q5" i="2"/>
  <c r="P5" i="2"/>
  <c r="O5" i="2"/>
  <c r="N5" i="2"/>
  <c r="M5" i="2"/>
  <c r="H9" i="5" l="1"/>
  <c r="D8" i="5"/>
  <c r="X18" i="2"/>
  <c r="E7" i="5"/>
  <c r="Z18" i="2"/>
  <c r="V7" i="2"/>
  <c r="X16" i="2"/>
  <c r="Z19" i="2"/>
  <c r="V16" i="2"/>
  <c r="V15" i="2"/>
  <c r="E10" i="5"/>
  <c r="E4" i="5"/>
  <c r="W16" i="2"/>
  <c r="W13" i="2"/>
  <c r="D10" i="5"/>
  <c r="H8" i="5"/>
  <c r="D7" i="5"/>
  <c r="H5" i="5"/>
  <c r="D4" i="5"/>
  <c r="C10" i="5"/>
  <c r="G8" i="5"/>
  <c r="C7" i="5"/>
  <c r="G5" i="5"/>
  <c r="C4" i="5"/>
  <c r="F32" i="5"/>
  <c r="F8" i="5"/>
  <c r="F5" i="5"/>
  <c r="E32" i="5"/>
  <c r="E8" i="5"/>
  <c r="E5" i="5"/>
  <c r="W10" i="2"/>
  <c r="Z8" i="2"/>
  <c r="D32" i="5"/>
  <c r="H6" i="5"/>
  <c r="D5" i="5"/>
  <c r="X15" i="2"/>
  <c r="Y5" i="2"/>
  <c r="C35" i="5"/>
  <c r="G9" i="5"/>
  <c r="C8" i="5"/>
  <c r="G6" i="5"/>
  <c r="C5" i="5"/>
  <c r="W19" i="2"/>
  <c r="F9" i="5"/>
  <c r="F6" i="5"/>
  <c r="V19" i="2"/>
  <c r="E30" i="5"/>
  <c r="E9" i="5"/>
  <c r="E6" i="5"/>
  <c r="U15" i="2"/>
  <c r="D30" i="5"/>
  <c r="H10" i="5"/>
  <c r="D9" i="5"/>
  <c r="H7" i="5"/>
  <c r="D6" i="5"/>
  <c r="H4" i="5"/>
  <c r="V17" i="2"/>
  <c r="Z15" i="2"/>
  <c r="G10" i="5"/>
  <c r="C9" i="5"/>
  <c r="G7" i="5"/>
  <c r="C6" i="5"/>
  <c r="G4" i="5"/>
  <c r="G13" i="5"/>
  <c r="Y6" i="2"/>
  <c r="V9" i="2"/>
  <c r="Y17" i="2"/>
  <c r="F34" i="5"/>
  <c r="F10" i="5"/>
  <c r="F7" i="5"/>
  <c r="F4" i="5"/>
  <c r="W6" i="2"/>
  <c r="X7" i="2"/>
  <c r="U17" i="2"/>
  <c r="U13" i="2"/>
  <c r="W5" i="2"/>
  <c r="V10" i="2"/>
  <c r="Z9" i="2"/>
  <c r="Z17" i="2"/>
  <c r="X10" i="2"/>
  <c r="W8" i="2"/>
  <c r="U11" i="2"/>
  <c r="Y7" i="4"/>
  <c r="U18" i="2"/>
  <c r="U16" i="2"/>
  <c r="U14" i="2"/>
  <c r="Z18" i="4"/>
  <c r="Y16" i="2"/>
  <c r="Z7" i="2"/>
  <c r="X14" i="2"/>
  <c r="Y10" i="2"/>
  <c r="X6" i="2"/>
  <c r="U9" i="2"/>
  <c r="W11" i="2"/>
  <c r="J6" i="4"/>
  <c r="Y18" i="2"/>
  <c r="X11" i="2"/>
  <c r="U10" i="2"/>
  <c r="Y11" i="2"/>
  <c r="V8" i="2"/>
  <c r="X9" i="2"/>
  <c r="Z6" i="2"/>
  <c r="X19" i="4"/>
  <c r="U5" i="2"/>
  <c r="W7" i="2"/>
  <c r="Y7" i="2"/>
  <c r="Z11" i="2"/>
  <c r="Y8" i="4"/>
  <c r="U8" i="2"/>
  <c r="V18" i="2"/>
  <c r="V14" i="2"/>
  <c r="U6" i="2"/>
  <c r="Z5" i="2"/>
  <c r="X13" i="4"/>
  <c r="U14" i="4"/>
  <c r="X5" i="2"/>
  <c r="W15" i="2"/>
  <c r="Y19" i="2"/>
  <c r="Z16" i="4"/>
  <c r="W9" i="2"/>
  <c r="X19" i="2"/>
  <c r="X13" i="2"/>
  <c r="Y9" i="2"/>
  <c r="U7" i="2"/>
  <c r="V6" i="2"/>
  <c r="V11" i="2"/>
  <c r="X8" i="2"/>
  <c r="Y15" i="2"/>
  <c r="Z9" i="4"/>
  <c r="W14" i="2"/>
  <c r="V13" i="4"/>
  <c r="Y8" i="2"/>
  <c r="V5" i="2"/>
  <c r="Z10" i="2"/>
  <c r="Y13" i="2"/>
  <c r="X6" i="4"/>
  <c r="Z16" i="2"/>
  <c r="Z13" i="2"/>
  <c r="J5" i="4"/>
  <c r="W18" i="4"/>
  <c r="U15" i="4"/>
  <c r="X18" i="4"/>
  <c r="Z6" i="4"/>
  <c r="V8" i="4"/>
  <c r="V14" i="4"/>
  <c r="Y13" i="4"/>
  <c r="W7" i="4"/>
  <c r="Y6" i="4"/>
  <c r="X10" i="4"/>
  <c r="X15" i="4"/>
  <c r="X5" i="4"/>
  <c r="U7" i="4"/>
  <c r="Y10" i="4"/>
  <c r="Y15" i="4"/>
  <c r="V15" i="4"/>
  <c r="U19" i="4"/>
  <c r="Y5" i="4"/>
  <c r="V9" i="4"/>
  <c r="Z10" i="4"/>
  <c r="Z13" i="4"/>
  <c r="V19" i="4"/>
  <c r="W14" i="4"/>
  <c r="Z5" i="4"/>
  <c r="X17" i="4"/>
  <c r="W19" i="4"/>
  <c r="X7" i="4"/>
  <c r="V11" i="4"/>
  <c r="U8" i="4"/>
  <c r="W11" i="4"/>
  <c r="V16" i="4"/>
  <c r="Z17" i="4"/>
  <c r="Y19" i="4"/>
  <c r="V6" i="4"/>
  <c r="X11" i="4"/>
  <c r="Z19" i="4"/>
  <c r="W6" i="4"/>
  <c r="V7" i="4"/>
  <c r="Y11" i="4"/>
  <c r="X14" i="4"/>
  <c r="V18" i="4"/>
  <c r="Z11" i="4"/>
  <c r="W8" i="4"/>
  <c r="U9" i="4"/>
  <c r="W15" i="4"/>
  <c r="Z7" i="4"/>
  <c r="X8" i="4"/>
  <c r="Z14" i="4"/>
  <c r="U16" i="4"/>
  <c r="W9" i="4"/>
  <c r="U10" i="4"/>
  <c r="W16" i="4"/>
  <c r="U17" i="4"/>
  <c r="Z8" i="4"/>
  <c r="V17" i="4"/>
  <c r="V5" i="4"/>
  <c r="U11" i="4"/>
  <c r="W5" i="4"/>
  <c r="X9" i="4"/>
  <c r="X16" i="4"/>
  <c r="Y9" i="4"/>
  <c r="U18" i="4"/>
  <c r="U6" i="4"/>
  <c r="U13" i="4"/>
  <c r="Y17" i="4"/>
  <c r="U5" i="4"/>
  <c r="V10" i="4"/>
  <c r="Z15" i="4"/>
  <c r="W10" i="4"/>
  <c r="W17" i="4"/>
  <c r="Y16" i="4"/>
  <c r="W13" i="4"/>
  <c r="Y18" i="4"/>
  <c r="X17" i="2"/>
  <c r="Z14" i="2"/>
  <c r="Y14" i="2"/>
  <c r="J6" i="2"/>
  <c r="J5" i="2"/>
  <c r="T18" i="2" l="1"/>
  <c r="T17" i="2"/>
  <c r="T7" i="4"/>
  <c r="T15" i="2"/>
  <c r="T10" i="2"/>
  <c r="T13" i="2"/>
  <c r="T11" i="2"/>
  <c r="T7" i="2"/>
  <c r="T16" i="2"/>
  <c r="T19" i="2"/>
  <c r="T5" i="2"/>
  <c r="T8" i="2"/>
  <c r="S8" i="2" s="1"/>
  <c r="T9" i="2"/>
  <c r="T6" i="4"/>
  <c r="T14" i="4"/>
  <c r="T15" i="4"/>
  <c r="T8" i="4"/>
  <c r="T19" i="4"/>
  <c r="T6" i="2"/>
  <c r="T14" i="2"/>
  <c r="T18" i="4"/>
  <c r="T16" i="4"/>
  <c r="T11" i="4"/>
  <c r="T10" i="4"/>
  <c r="T9" i="4"/>
  <c r="T5" i="4"/>
  <c r="T17" i="4"/>
  <c r="T13" i="4"/>
  <c r="S17" i="4" l="1"/>
  <c r="S14" i="4"/>
  <c r="S9" i="2"/>
  <c r="S5" i="2"/>
  <c r="S18" i="2"/>
  <c r="S7" i="2"/>
  <c r="S18" i="4"/>
  <c r="S19" i="4"/>
  <c r="S16" i="4"/>
  <c r="S11" i="2"/>
  <c r="S10" i="2"/>
  <c r="S6" i="2"/>
  <c r="S13" i="4"/>
  <c r="S15" i="4"/>
  <c r="S15" i="2"/>
  <c r="S14" i="2"/>
  <c r="S19" i="2"/>
  <c r="S16" i="2"/>
  <c r="S10" i="4"/>
  <c r="S13" i="2"/>
  <c r="S17" i="2"/>
  <c r="S9" i="4"/>
  <c r="S6" i="4"/>
  <c r="S5" i="4"/>
  <c r="S11" i="4"/>
  <c r="S7" i="4"/>
  <c r="S8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<sst xmlns="http://schemas.openxmlformats.org/spreadsheetml/2006/main" count="147" uniqueCount="45">
  <si>
    <t>ncohort</t>
  </si>
  <si>
    <t>utype</t>
  </si>
  <si>
    <t>rtype</t>
  </si>
  <si>
    <t>bd.sel</t>
  </si>
  <si>
    <t>od.sel</t>
  </si>
  <si>
    <t>bd.pts</t>
  </si>
  <si>
    <t>od.pts</t>
  </si>
  <si>
    <t>earlystop</t>
  </si>
  <si>
    <t>overdose</t>
  </si>
  <si>
    <t>poorall</t>
  </si>
  <si>
    <t>design</t>
  </si>
  <si>
    <t>utpi</t>
  </si>
  <si>
    <t>boinet</t>
  </si>
  <si>
    <t>tepi</t>
  </si>
  <si>
    <t>boin12</t>
  </si>
  <si>
    <t>ji3</t>
  </si>
  <si>
    <t>printe</t>
  </si>
  <si>
    <t>stein</t>
  </si>
  <si>
    <t>Grand Total</t>
  </si>
  <si>
    <t>Sum of bd.sel</t>
  </si>
  <si>
    <t>Sum of od.sel</t>
  </si>
  <si>
    <t>Sum of bd.pts</t>
  </si>
  <si>
    <t>Sum of poorall</t>
  </si>
  <si>
    <t>Sum of overdose</t>
  </si>
  <si>
    <t>uTPI</t>
  </si>
  <si>
    <t>BOIN-ET</t>
  </si>
  <si>
    <t>Joint3+3</t>
  </si>
  <si>
    <t>STEIN</t>
  </si>
  <si>
    <t>PRINTE</t>
  </si>
  <si>
    <t>TEPI</t>
  </si>
  <si>
    <t>BOIN12</t>
  </si>
  <si>
    <t>Sample Size</t>
  </si>
  <si>
    <t>Design</t>
  </si>
  <si>
    <t>OBD Sel%</t>
  </si>
  <si>
    <t>FD Sel%</t>
  </si>
  <si>
    <t>OBD Pts%</t>
  </si>
  <si>
    <t>Poor Pts%</t>
  </si>
  <si>
    <t>ov.sel</t>
  </si>
  <si>
    <t>Sum of ov.sel</t>
  </si>
  <si>
    <t>OV Pts%</t>
  </si>
  <si>
    <t>OV Sel%</t>
  </si>
  <si>
    <t>CompRank</t>
  </si>
  <si>
    <t>$N$</t>
  </si>
  <si>
    <t>\textit{Utility structure $(w_{11}, w_{00}) = (0.6, 0.4)$.}</t>
  </si>
  <si>
    <t>\textit{Utility structure $(w_{11}, w_{00}) = (1, 0)$.}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</si>
</sst>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18"/>
      <color theme="3"/>
      <name val="Calibri Light"/>
      <family val="2"/>
      <charset val="134"/>
      <scheme val="major"/>
    </font>
    <font>
      <b/>
      <sz val="15"/>
      <color theme="3"/>
      <name val="Calibri"/>
      <family val="2"/>
      <charset val="134"/>
      <scheme val="minor"/>
    </font>
    <font>
      <b/>
      <sz val="13"/>
      <color theme="3"/>
      <name val="Calibri"/>
      <family val="2"/>
      <charset val="134"/>
      <scheme val="minor"/>
    </font>
    <font>
      <b/>
      <sz val="11"/>
      <color theme="3"/>
      <name val="Calibri"/>
      <family val="2"/>
      <charset val="134"/>
      <scheme val="minor"/>
    </font>
    <font>
      <sz val="11"/>
      <color rgb="FF006100"/>
      <name val="Calibri"/>
      <family val="2"/>
      <charset val="134"/>
      <scheme val="minor"/>
    </font>
    <font>
      <sz val="11"/>
      <color rgb="FF9C0006"/>
      <name val="Calibri"/>
      <family val="2"/>
      <charset val="134"/>
      <scheme val="minor"/>
    </font>
    <font>
      <sz val="11"/>
      <color rgb="FF9C5700"/>
      <name val="Calibri"/>
      <family val="2"/>
      <charset val="134"/>
      <scheme val="minor"/>
    </font>
    <font>
      <sz val="11"/>
      <color rgb="FF3F3F76"/>
      <name val="Calibri"/>
      <family val="2"/>
      <charset val="134"/>
      <scheme val="minor"/>
    </font>
    <font>
      <b/>
      <sz val="11"/>
      <color rgb="FF3F3F3F"/>
      <name val="Calibri"/>
      <family val="2"/>
      <charset val="134"/>
      <scheme val="minor"/>
    </font>
    <font>
      <b/>
      <sz val="11"/>
      <color rgb="FFFA7D00"/>
      <name val="Calibri"/>
      <family val="2"/>
      <charset val="134"/>
      <scheme val="minor"/>
    </font>
    <font>
      <sz val="11"/>
      <color rgb="FFFA7D00"/>
      <name val="Calibri"/>
      <family val="2"/>
      <charset val="134"/>
      <scheme val="minor"/>
    </font>
    <font>
      <b/>
      <sz val="11"/>
      <color theme="0"/>
      <name val="Calibri"/>
      <family val="2"/>
      <charset val="134"/>
      <scheme val="minor"/>
    </font>
    <font>
      <sz val="11"/>
      <color rgb="FFFF0000"/>
      <name val="Calibri"/>
      <family val="2"/>
      <charset val="134"/>
      <scheme val="minor"/>
    </font>
    <font>
      <i/>
      <sz val="11"/>
      <color rgb="FF7F7F7F"/>
      <name val="Calibri"/>
      <family val="2"/>
      <charset val="134"/>
      <scheme val="minor"/>
    </font>
    <font>
      <b/>
      <sz val="11"/>
      <color theme="1"/>
      <name val="Calibri"/>
      <family val="2"/>
      <charset val="134"/>
      <scheme val="minor"/>
    </font>
    <font>
      <sz val="11"/>
      <color theme="0"/>
      <name val="Calibri"/>
      <family val="2"/>
      <charset val="13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6" fillId="0" borderId="0" xfId="0" applyFont="1"/>
    <xf numFmtId="2" fontId="0" fillId="0" borderId="0" xfId="0" applyNumberFormat="1"/>
    <xf numFmtId="2" fontId="18" fillId="0" borderId="0" xfId="0" applyNumberFormat="1" applyFont="1"/>
    <xf numFmtId="0" fontId="18" fillId="0" borderId="0" xfId="0" applyFont="1"/>
    <xf numFmtId="2" fontId="19" fillId="0" borderId="0" xfId="0" applyNumberFormat="1" applyFont="1"/>
    <xf numFmtId="0" fontId="0" fillId="0" borderId="0" xfId="0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l" refreshedDate="44778.471250925926" createdVersion="8" refreshedVersion="8" minRefreshableVersion="3" recordCount="29" xr:uid="{C2DC8B8B-59EB-4EBF-A130-C0BF85A17AAA}">
  <cacheSource type="worksheet">
    <worksheetSource ref="A1:L513" sheet="simres.csv"/>
  </cacheSource>
  <cacheFields count="12">
    <cacheField name="ncohort" numFmtId="0">
      <sharedItems containsString="0" containsBlank="1" containsNumber="1" containsInteger="1" minValue="6" maxValue="18" count="4">
        <n v="6"/>
        <n v="12"/>
        <m/>
        <n v="18" u="1"/>
      </sharedItems>
    </cacheField>
    <cacheField name="utype" numFmtId="0">
      <sharedItems containsString="0" containsBlank="1" containsNumber="1" containsInteger="1" minValue="1" maxValue="2" count="3">
        <n v="1"/>
        <n v="2"/>
        <m/>
      </sharedItems>
    </cacheField>
    <cacheField name="rtype" numFmtId="0">
      <sharedItems containsString="0" containsBlank="1" containsNumber="1" containsInteger="1" minValue="1" maxValue="1" count="2">
        <n v="1"/>
        <m/>
      </sharedItems>
    </cacheField>
    <cacheField name="bd.sel" numFmtId="0">
      <sharedItems containsString="0" containsBlank="1" containsNumber="1" minValue="55.846666666665101" maxValue="62.463333333332201"/>
    </cacheField>
    <cacheField name="od.sel" numFmtId="0">
      <sharedItems containsString="0" containsBlank="1" containsNumber="1" minValue="65.300000000000793" maxValue="74.850000000001799"/>
    </cacheField>
    <cacheField name="bd.pts" numFmtId="0">
      <sharedItems containsString="0" containsBlank="1" containsNumber="1" minValue="40.0822222222207" maxValue="54.683333333330701"/>
    </cacheField>
    <cacheField name="od.pts" numFmtId="0">
      <sharedItems containsString="0" containsBlank="1" containsNumber="1" minValue="53.798888888886999" maxValue="67.558055555555896"/>
    </cacheField>
    <cacheField name="earlystop" numFmtId="0">
      <sharedItems containsString="0" containsBlank="1" containsNumber="1" minValue="1.4766666666666699" maxValue="5.1766666666666703"/>
    </cacheField>
    <cacheField name="overdose" numFmtId="0">
      <sharedItems containsString="0" containsBlank="1" containsNumber="1" minValue="2.3966666666666701" maxValue="7.4994444444445598"/>
    </cacheField>
    <cacheField name="poorall" numFmtId="0">
      <sharedItems containsString="0" containsBlank="1" containsNumber="1" minValue="23.400000000000301" maxValue="43.059999999998603"/>
    </cacheField>
    <cacheField name="ov.sel" numFmtId="0">
      <sharedItems containsString="0" containsBlank="1" containsNumber="1" minValue="0.44333333333333402" maxValue="2.8433333333333"/>
    </cacheField>
    <cacheField name="design" numFmtId="0">
      <sharedItems containsBlank="1" count="8">
        <s v="utpi"/>
        <s v="boinet"/>
        <s v="tepi"/>
        <s v="boin12"/>
        <s v="ji3"/>
        <s v="printe"/>
        <s v="stein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">
  <r>
    <x v="0"/>
    <x v="0"/>
    <x v="0"/>
    <n v="57.846666666666501"/>
    <n v="67.176666666667202"/>
    <n v="49.076111111109199"/>
    <n v="61.536111111111197"/>
    <n v="2.0366666666666702"/>
    <n v="4.7477777777778103"/>
    <n v="28.5766666666673"/>
    <n v="1.01"/>
    <x v="0"/>
  </r>
  <r>
    <x v="1"/>
    <x v="0"/>
    <x v="0"/>
    <n v="62.163333333332901"/>
    <n v="71.880000000001402"/>
    <n v="54.6141666666649"/>
    <n v="66.504999999998901"/>
    <n v="3.63"/>
    <n v="3.3263888888889399"/>
    <n v="30.390000000000502"/>
    <n v="0.56333333333333402"/>
    <x v="0"/>
  </r>
  <r>
    <x v="0"/>
    <x v="1"/>
    <x v="0"/>
    <n v="57.166666666664902"/>
    <n v="67.696666666667895"/>
    <n v="48.3966666666647"/>
    <n v="61.185555555557499"/>
    <n v="1.9266666666666701"/>
    <n v="4.53833333333335"/>
    <n v="30.4433333333339"/>
    <n v="2.0999999999999899"/>
    <x v="0"/>
  </r>
  <r>
    <x v="1"/>
    <x v="1"/>
    <x v="0"/>
    <n v="60.143333333331398"/>
    <n v="70.6866666666687"/>
    <n v="53.174722222219799"/>
    <n v="65.886666666667097"/>
    <n v="3.4"/>
    <n v="3.3491666666667199"/>
    <n v="34.516666666667398"/>
    <n v="1.1466666666666601"/>
    <x v="0"/>
  </r>
  <r>
    <x v="0"/>
    <x v="0"/>
    <x v="0"/>
    <n v="57.636666666666699"/>
    <n v="66.853333333333893"/>
    <n v="49.747222222220302"/>
    <n v="61.699999999999903"/>
    <n v="1.9466666666666701"/>
    <n v="4.5427777777777996"/>
    <n v="30.5433333333348"/>
    <n v="0.9"/>
    <x v="1"/>
  </r>
  <r>
    <x v="1"/>
    <x v="0"/>
    <x v="0"/>
    <n v="60.539999999999402"/>
    <n v="70.133333333334207"/>
    <n v="54.683333333330701"/>
    <n v="66.515555555553703"/>
    <n v="3.82"/>
    <n v="3.58694444444449"/>
    <n v="32.660000000001801"/>
    <n v="0.46333333333333399"/>
    <x v="1"/>
  </r>
  <r>
    <x v="0"/>
    <x v="1"/>
    <x v="0"/>
    <n v="56.9666666666647"/>
    <n v="67.726666666667597"/>
    <n v="48.389999999997798"/>
    <n v="61.907777777779799"/>
    <n v="2.06666666666667"/>
    <n v="4.7577777777778003"/>
    <n v="32.166666666668"/>
    <n v="2.0333333333333199"/>
    <x v="1"/>
  </r>
  <r>
    <x v="1"/>
    <x v="1"/>
    <x v="0"/>
    <n v="59.649999999997398"/>
    <n v="70.670000000000996"/>
    <n v="52.999722222219702"/>
    <n v="66.500000000000199"/>
    <n v="3.92"/>
    <n v="3.6319444444444899"/>
    <n v="34.596666666668199"/>
    <n v="1.42"/>
    <x v="1"/>
  </r>
  <r>
    <x v="0"/>
    <x v="0"/>
    <x v="0"/>
    <n v="55.886666666665597"/>
    <n v="65.893333333333601"/>
    <n v="40.0822222222207"/>
    <n v="53.798888888886999"/>
    <n v="2.8033333333333301"/>
    <n v="7.4994444444445598"/>
    <n v="35.680000000001201"/>
    <n v="1.14333333333333"/>
    <x v="2"/>
  </r>
  <r>
    <x v="1"/>
    <x v="0"/>
    <x v="0"/>
    <n v="59.883333333332097"/>
    <n v="69.863333333333998"/>
    <n v="44.898333333331401"/>
    <n v="58.535833333330601"/>
    <n v="4.2"/>
    <n v="7.09388888888894"/>
    <n v="43.059999999998603"/>
    <n v="0.51"/>
    <x v="2"/>
  </r>
  <r>
    <x v="0"/>
    <x v="1"/>
    <x v="0"/>
    <n v="56.2233333333307"/>
    <n v="68.596666666667403"/>
    <n v="40.987222222220801"/>
    <n v="59.492222222222601"/>
    <n v="2.7"/>
    <n v="7.4372222222223296"/>
    <n v="34.016666666668002"/>
    <n v="2.8433333333333"/>
    <x v="2"/>
  </r>
  <r>
    <x v="1"/>
    <x v="1"/>
    <x v="0"/>
    <n v="60.289999999996603"/>
    <n v="72.950000000001097"/>
    <n v="45.5916666666648"/>
    <n v="66.464722222221297"/>
    <n v="3.88"/>
    <n v="7.0111111111111502"/>
    <n v="41.943333333332198"/>
    <n v="1.5233333333333301"/>
    <x v="2"/>
  </r>
  <r>
    <x v="0"/>
    <x v="0"/>
    <x v="0"/>
    <n v="57.1966666666655"/>
    <n v="67.203333333333504"/>
    <n v="46.389444444443498"/>
    <n v="59.577777777777797"/>
    <n v="2.0733333333333301"/>
    <n v="5.2700000000001204"/>
    <n v="25.360000000000099"/>
    <n v="1.2733333333333301"/>
    <x v="3"/>
  </r>
  <r>
    <x v="1"/>
    <x v="0"/>
    <x v="0"/>
    <n v="62.463333333332201"/>
    <n v="72.550000000001106"/>
    <n v="52.2558333333318"/>
    <n v="64.549999999999798"/>
    <n v="4.3266666666666698"/>
    <n v="3.6833333333334499"/>
    <n v="27.243333333333599"/>
    <n v="0.73"/>
    <x v="3"/>
  </r>
  <r>
    <x v="0"/>
    <x v="1"/>
    <x v="0"/>
    <n v="57.3999999999971"/>
    <n v="70.560000000001097"/>
    <n v="45.081666666665797"/>
    <n v="61.310555555557102"/>
    <n v="1.89333333333333"/>
    <n v="6.2555555555557296"/>
    <n v="23.400000000000301"/>
    <n v="2.8233333333332999"/>
    <x v="3"/>
  </r>
  <r>
    <x v="1"/>
    <x v="1"/>
    <x v="0"/>
    <n v="61.733333333329703"/>
    <n v="74.850000000001799"/>
    <n v="50.942777777776698"/>
    <n v="65.681111111112301"/>
    <n v="3.9"/>
    <n v="4.5888888888889898"/>
    <n v="26.963333333334202"/>
    <n v="1.9266666666666601"/>
    <x v="3"/>
  </r>
  <r>
    <x v="0"/>
    <x v="0"/>
    <x v="0"/>
    <n v="57.299999999999599"/>
    <n v="66.760000000000204"/>
    <n v="48.847777777775804"/>
    <n v="61.633888888888698"/>
    <n v="1.4766666666666699"/>
    <n v="5.3972222222222701"/>
    <n v="32.1733333333353"/>
    <n v="0.99333333333333396"/>
    <x v="4"/>
  </r>
  <r>
    <x v="1"/>
    <x v="0"/>
    <x v="0"/>
    <n v="61.136666666666002"/>
    <n v="70.473333333334196"/>
    <n v="53.748611111108701"/>
    <n v="65.830277777775905"/>
    <n v="2.8833333333333302"/>
    <n v="4.51750000000004"/>
    <n v="33.2666666666683"/>
    <n v="0.48"/>
    <x v="4"/>
  </r>
  <r>
    <x v="0"/>
    <x v="1"/>
    <x v="0"/>
    <n v="57.036666666664303"/>
    <n v="68.263333333334302"/>
    <n v="47.827777777775601"/>
    <n v="61.981666666668502"/>
    <n v="1.55666666666667"/>
    <n v="5.4538888888889199"/>
    <n v="33.476666666668301"/>
    <n v="2.2166666666666499"/>
    <x v="4"/>
  </r>
  <r>
    <x v="1"/>
    <x v="1"/>
    <x v="0"/>
    <n v="60.299999999997098"/>
    <n v="72.140000000001294"/>
    <n v="52.308611111108704"/>
    <n v="67.558055555555896"/>
    <n v="2.91333333333333"/>
    <n v="4.5891666666667099"/>
    <n v="34.796666666668301"/>
    <n v="1.38333333333333"/>
    <x v="4"/>
  </r>
  <r>
    <x v="0"/>
    <x v="0"/>
    <x v="0"/>
    <n v="56.040000000000198"/>
    <n v="65.300000000000793"/>
    <n v="47.388333333331403"/>
    <n v="58.176111111110998"/>
    <n v="2.62333333333333"/>
    <n v="3.5116666666666498"/>
    <n v="33.626666666667397"/>
    <n v="0.82333333333333303"/>
    <x v="5"/>
  </r>
  <r>
    <x v="1"/>
    <x v="0"/>
    <x v="0"/>
    <n v="60.586666666666403"/>
    <n v="69.7633333333346"/>
    <n v="52.475277777775403"/>
    <n v="62.911666666665297"/>
    <n v="4.42"/>
    <n v="3.1261111111111299"/>
    <n v="35.073333333334801"/>
    <n v="0.44333333333333402"/>
    <x v="5"/>
  </r>
  <r>
    <x v="0"/>
    <x v="1"/>
    <x v="0"/>
    <n v="55.846666666665101"/>
    <n v="66.416666666667794"/>
    <n v="46.8433333333316"/>
    <n v="58.2422222222242"/>
    <n v="2.62666666666667"/>
    <n v="3.5199999999999898"/>
    <n v="34.616666666667101"/>
    <n v="2.13333333333332"/>
    <x v="5"/>
  </r>
  <r>
    <x v="1"/>
    <x v="1"/>
    <x v="0"/>
    <n v="59.936666666664301"/>
    <n v="71.453333333334797"/>
    <n v="51.387222222219798"/>
    <n v="64.337777777778697"/>
    <n v="4.03"/>
    <n v="3.13111111111114"/>
    <n v="36.253333333334503"/>
    <n v="1.35666666666666"/>
    <x v="5"/>
  </r>
  <r>
    <x v="0"/>
    <x v="0"/>
    <x v="0"/>
    <n v="56.396666666667102"/>
    <n v="65.543333333334203"/>
    <n v="48.0005555555542"/>
    <n v="58.554444444444599"/>
    <n v="2.9033333333333302"/>
    <n v="3.0105555555555501"/>
    <n v="31.343333333333099"/>
    <n v="0.89333333333333398"/>
    <x v="6"/>
  </r>
  <r>
    <x v="1"/>
    <x v="0"/>
    <x v="0"/>
    <n v="61.106666666666698"/>
    <n v="70.173333333334796"/>
    <n v="53.795277777776199"/>
    <n v="64.014444444444095"/>
    <n v="5.1766666666666703"/>
    <n v="2.3966666666666701"/>
    <n v="32.320000000000398"/>
    <n v="0.44666666666666699"/>
    <x v="6"/>
  </r>
  <r>
    <x v="0"/>
    <x v="1"/>
    <x v="0"/>
    <n v="56.053333333332198"/>
    <n v="66.0433333333348"/>
    <n v="47.144999999998902"/>
    <n v="57.671111111113298"/>
    <n v="2.81666666666667"/>
    <n v="3.0449999999999902"/>
    <n v="32.859999999999701"/>
    <n v="2.1033333333333202"/>
    <x v="6"/>
  </r>
  <r>
    <x v="1"/>
    <x v="1"/>
    <x v="0"/>
    <n v="59.796666666665203"/>
    <n v="70.320000000001798"/>
    <n v="52.094166666665103"/>
    <n v="63.245277777779201"/>
    <n v="4.7"/>
    <n v="2.4113888888888999"/>
    <n v="34.493333333333503"/>
    <n v="1.2466666666666599"/>
    <x v="6"/>
  </r>
  <r>
    <x v="2"/>
    <x v="2"/>
    <x v="1"/>
    <m/>
    <m/>
    <m/>
    <m/>
    <m/>
    <m/>
    <m/>
    <m/>
    <x v="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C380DE-3DBC-4D5C-ABF7-2833D249C2DA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compact="0" compactData="0" multipleFieldFilters="0">
  <location ref="A4:H19" firstHeaderRow="0" firstDataRow="1" firstDataCol="2" rowPageCount="2" colPageCount="1"/>
  <pivotFields count="12">
    <pivotField axis="axisRow" compact="0" outline="0" showAll="0" defaultSubtotal="0">
      <items count="4">
        <item x="0"/>
        <item x="1"/>
        <item m="1" x="3"/>
        <item x="2"/>
      </items>
    </pivotField>
    <pivotField axis="axisPage" compact="0" outline="0" showAll="0" defaultSubtotal="0">
      <items count="3">
        <item x="0"/>
        <item x="1"/>
        <item x="2"/>
      </items>
    </pivotField>
    <pivotField axis="axisPage" compact="0" outline="0" showAll="0" defaultSubtotal="0">
      <items count="2">
        <item x="0"/>
        <item x="1"/>
      </items>
    </pivotField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ubtotalTop="0" showAll="0" defaultSubtotal="0"/>
    <pivotField axis="axisRow" compact="0" outline="0" subtotalTop="0" showAll="0" defaultSubtotal="0">
      <items count="8">
        <item x="0"/>
        <item x="1"/>
        <item x="4"/>
        <item x="6"/>
        <item x="5"/>
        <item x="2"/>
        <item x="3"/>
        <item x="7"/>
      </items>
    </pivotField>
  </pivotFields>
  <rowFields count="2">
    <field x="0"/>
    <field x="11"/>
  </rowFields>
  <rowItems count="15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2">
    <pageField fld="2" item="0" hier="-1"/>
    <pageField fld="1" item="1" hier="-1"/>
  </pageFields>
  <dataFields count="6">
    <dataField name="Sum of bd.sel" fld="3" baseField="0" baseItem="0"/>
    <dataField name="Sum of od.sel" fld="4" baseField="0" baseItem="0"/>
    <dataField name="Sum of bd.pts" fld="5" baseField="0" baseItem="0"/>
    <dataField name="Sum of poorall" fld="9" baseField="0" baseItem="0"/>
    <dataField name="Sum of overdose" fld="8" baseField="0" baseItem="0"/>
    <dataField name="Sum of ov.sel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6EFC68-4F4E-4BB5-8CE9-F82E6F6929A0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compact="0" compactData="0" multipleFieldFilters="0">
  <location ref="A4:H19" firstHeaderRow="0" firstDataRow="1" firstDataCol="2" rowPageCount="2" colPageCount="1"/>
  <pivotFields count="12">
    <pivotField axis="axisRow" compact="0" outline="0" showAll="0" defaultSubtotal="0">
      <items count="4">
        <item x="0"/>
        <item x="1"/>
        <item m="1" x="3"/>
        <item x="2"/>
      </items>
    </pivotField>
    <pivotField axis="axisPage" compact="0" outline="0" showAll="0" defaultSubtotal="0">
      <items count="3">
        <item x="0"/>
        <item x="1"/>
        <item x="2"/>
      </items>
    </pivotField>
    <pivotField axis="axisPage" compact="0" outline="0" showAll="0" defaultSubtotal="0">
      <items count="2">
        <item x="0"/>
        <item x="1"/>
      </items>
    </pivotField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ubtotalTop="0" showAll="0" defaultSubtotal="0"/>
    <pivotField axis="axisRow" compact="0" outline="0" subtotalTop="0" showAll="0" defaultSubtotal="0">
      <items count="8">
        <item x="0"/>
        <item x="1"/>
        <item x="4"/>
        <item x="6"/>
        <item x="5"/>
        <item x="2"/>
        <item x="3"/>
        <item x="7"/>
      </items>
    </pivotField>
  </pivotFields>
  <rowFields count="2">
    <field x="0"/>
    <field x="11"/>
  </rowFields>
  <rowItems count="15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2">
    <pageField fld="2" item="0" hier="-1"/>
    <pageField fld="1" item="0" hier="-1"/>
  </pageFields>
  <dataFields count="6">
    <dataField name="Sum of bd.sel" fld="3" baseField="0" baseItem="0"/>
    <dataField name="Sum of od.sel" fld="4" baseField="0" baseItem="0"/>
    <dataField name="Sum of bd.pts" fld="5" baseField="0" baseItem="0"/>
    <dataField name="Sum of poorall" fld="9" baseField="0" baseItem="0"/>
    <dataField name="Sum of overdose" fld="8" baseField="0" baseItem="0"/>
    <dataField name="Sum of ov.sel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B8DAF-CB6A-412E-8254-ED1BE2D87392}">
  <dimension ref="A2:I35"/>
  <sheetViews>
    <sheetView tabSelected="1" topLeftCell="A18" workbookViewId="0">
      <selection activeCell="A21" sqref="A21:I35"/>
    </sheetView>
  </sheetViews>
  <sheetFormatPr defaultRowHeight="14.75"/>
  <sheetData>
    <row r="2" spans="1:9">
      <c r="A2" t="s">
        <v>42</v>
      </c>
      <c r="B2" t="s">
        <v>32</v>
      </c>
      <c r="C2" t="s">
        <v>33</v>
      </c>
      <c r="D2" t="s">
        <v>34</v>
      </c>
      <c r="E2" t="s">
        <v>35</v>
      </c>
      <c r="F2" t="s">
        <v>36</v>
      </c>
      <c r="G2" t="s">
        <v>39</v>
      </c>
      <c r="H2" t="s">
        <v>40</v>
      </c>
      <c r="I2" t="s">
        <v>41</v>
      </c>
    </row>
    <row r="3" spans="1:9">
      <c r="A3" s="9" t="s">
        <v>44</v>
      </c>
      <c r="B3" s="9"/>
      <c r="C3" s="9"/>
      <c r="D3" s="9"/>
      <c r="E3" s="9"/>
      <c r="F3" s="9"/>
      <c r="G3" s="9"/>
      <c r="H3" s="9"/>
      <c r="I3" s="9"/>
    </row>
    <row r="4" spans="1:9">
      <c r="A4">
        <v>36</v>
      </c>
      <c r="B4" t="str">
        <f>efficacy!L5</f>
        <v>uTPI</v>
      </c>
      <c r="C4" s="6">
        <f>efficacy!M5</f>
        <v>57.166666666664902</v>
      </c>
      <c r="D4" s="6">
        <f>efficacy!N5</f>
        <v>67.696666666667895</v>
      </c>
      <c r="E4" s="8">
        <f>efficacy!O5</f>
        <v>48.3966666666647</v>
      </c>
      <c r="F4" s="6">
        <f>efficacy!P5</f>
        <v>30.4433333333339</v>
      </c>
      <c r="G4" s="6">
        <f>efficacy!Q5</f>
        <v>4.53833333333335</v>
      </c>
      <c r="H4" s="6">
        <f>efficacy!R5</f>
        <v>2.0999999999999899</v>
      </c>
      <c r="I4" t="str">
        <f>efficacy!S5 &amp; " ("&amp;TEXT(efficacy!T5,"0.00")&amp;")"</f>
        <v>1 (2.50)</v>
      </c>
    </row>
    <row r="5" spans="1:9">
      <c r="B5" t="str">
        <f>efficacy!L6</f>
        <v>BOIN-ET</v>
      </c>
      <c r="C5" s="6">
        <f>efficacy!M6</f>
        <v>56.9666666666647</v>
      </c>
      <c r="D5" s="6">
        <f>efficacy!N6</f>
        <v>67.726666666667597</v>
      </c>
      <c r="E5" s="6">
        <f>efficacy!O6</f>
        <v>48.389999999997798</v>
      </c>
      <c r="F5" s="6">
        <f>efficacy!P6</f>
        <v>32.166666666668</v>
      </c>
      <c r="G5" s="6">
        <f>efficacy!Q6</f>
        <v>4.7577777777778003</v>
      </c>
      <c r="H5" s="8">
        <f>efficacy!R6</f>
        <v>2.0333333333333199</v>
      </c>
      <c r="I5" t="str">
        <f>efficacy!S6 &amp; " ("&amp;TEXT(efficacy!T6,"0.00")&amp;")"</f>
        <v>2 (3.00)</v>
      </c>
    </row>
    <row r="6" spans="1:9">
      <c r="B6" t="str">
        <f>efficacy!L7</f>
        <v>Joint3+3</v>
      </c>
      <c r="C6" s="6">
        <f>efficacy!M7</f>
        <v>57.036666666664303</v>
      </c>
      <c r="D6" s="6">
        <f>efficacy!N7</f>
        <v>68.263333333334302</v>
      </c>
      <c r="E6" s="6">
        <f>efficacy!O7</f>
        <v>47.827777777775601</v>
      </c>
      <c r="F6" s="6">
        <f>efficacy!P7</f>
        <v>33.476666666668301</v>
      </c>
      <c r="G6" s="6">
        <f>efficacy!Q7</f>
        <v>5.4538888888889199</v>
      </c>
      <c r="H6" s="6">
        <f>efficacy!R7</f>
        <v>2.2166666666666499</v>
      </c>
      <c r="I6" t="str">
        <f>efficacy!S7 &amp; " ("&amp;TEXT(efficacy!T7,"0.00")&amp;")"</f>
        <v>4 (4.00)</v>
      </c>
    </row>
    <row r="7" spans="1:9">
      <c r="B7" t="str">
        <f>efficacy!L8</f>
        <v>STEIN</v>
      </c>
      <c r="C7" s="6">
        <f>efficacy!M8</f>
        <v>56.053333333332198</v>
      </c>
      <c r="D7" s="6">
        <f>efficacy!N8</f>
        <v>66.0433333333348</v>
      </c>
      <c r="E7" s="6">
        <f>efficacy!O8</f>
        <v>47.144999999998902</v>
      </c>
      <c r="F7" s="6">
        <f>efficacy!P8</f>
        <v>32.859999999999701</v>
      </c>
      <c r="G7" s="8">
        <f>efficacy!Q8</f>
        <v>3.0449999999999902</v>
      </c>
      <c r="H7" s="6">
        <f>efficacy!R8</f>
        <v>2.1033333333333202</v>
      </c>
      <c r="I7" t="str">
        <f>efficacy!S8 &amp; " ("&amp;TEXT(efficacy!T8,"0.00")&amp;")"</f>
        <v>5 (4.17)</v>
      </c>
    </row>
    <row r="8" spans="1:9">
      <c r="B8" t="str">
        <f>efficacy!L9</f>
        <v>PRINTE</v>
      </c>
      <c r="C8" s="6">
        <f>efficacy!M9</f>
        <v>55.846666666665101</v>
      </c>
      <c r="D8" s="6">
        <f>efficacy!N9</f>
        <v>66.416666666667794</v>
      </c>
      <c r="E8" s="6">
        <f>efficacy!O9</f>
        <v>46.8433333333316</v>
      </c>
      <c r="F8" s="6">
        <f>efficacy!P9</f>
        <v>34.616666666667101</v>
      </c>
      <c r="G8" s="6">
        <f>efficacy!Q9</f>
        <v>3.5199999999999898</v>
      </c>
      <c r="H8" s="6">
        <f>efficacy!R9</f>
        <v>2.13333333333332</v>
      </c>
      <c r="I8" t="str">
        <f>efficacy!S9 &amp; " ("&amp;TEXT(efficacy!T9,"0.00")&amp;")"</f>
        <v>6 (5.17)</v>
      </c>
    </row>
    <row r="9" spans="1:9">
      <c r="B9" t="str">
        <f>efficacy!L10</f>
        <v>TEPI</v>
      </c>
      <c r="C9" s="6">
        <f>efficacy!M10</f>
        <v>56.2233333333307</v>
      </c>
      <c r="D9" s="6">
        <f>efficacy!N10</f>
        <v>68.596666666667403</v>
      </c>
      <c r="E9" s="6">
        <f>efficacy!O10</f>
        <v>40.987222222220801</v>
      </c>
      <c r="F9" s="6">
        <f>efficacy!P10</f>
        <v>34.016666666668002</v>
      </c>
      <c r="G9" s="6">
        <f>efficacy!Q10</f>
        <v>7.4372222222223296</v>
      </c>
      <c r="H9" s="6">
        <f>efficacy!R10</f>
        <v>2.8433333333333</v>
      </c>
      <c r="I9" t="str">
        <f>efficacy!S10 &amp; " ("&amp;TEXT(efficacy!T10,"0.00")&amp;")"</f>
        <v>7 (5.67)</v>
      </c>
    </row>
    <row r="10" spans="1:9">
      <c r="B10" t="str">
        <f>efficacy!L11</f>
        <v>BOIN12</v>
      </c>
      <c r="C10" s="8">
        <f>efficacy!M11</f>
        <v>57.3999999999971</v>
      </c>
      <c r="D10" s="8">
        <f>efficacy!N11</f>
        <v>70.560000000001097</v>
      </c>
      <c r="E10" s="6">
        <f>efficacy!O11</f>
        <v>45.081666666665797</v>
      </c>
      <c r="F10" s="8">
        <f>efficacy!P11</f>
        <v>23.400000000000301</v>
      </c>
      <c r="G10" s="6">
        <f>efficacy!Q11</f>
        <v>6.2555555555557296</v>
      </c>
      <c r="H10" s="6">
        <f>efficacy!R11</f>
        <v>2.8233333333332999</v>
      </c>
      <c r="I10" t="str">
        <f>efficacy!S11 &amp; " ("&amp;TEXT(efficacy!T11,"0.00")&amp;")"</f>
        <v>3 (3.50)</v>
      </c>
    </row>
    <row r="11" spans="1:9">
      <c r="C11" s="6"/>
      <c r="D11" s="6"/>
      <c r="E11" s="6"/>
      <c r="F11" s="6"/>
      <c r="G11" s="6"/>
      <c r="H11" s="6"/>
    </row>
    <row r="12" spans="1:9">
      <c r="A12">
        <v>54</v>
      </c>
      <c r="B12" t="str">
        <f>utility!L13</f>
        <v>uTPI</v>
      </c>
      <c r="C12" s="6">
        <f>efficacy!M13</f>
        <v>60.143333333331398</v>
      </c>
      <c r="D12" s="6">
        <f>efficacy!N13</f>
        <v>70.6866666666687</v>
      </c>
      <c r="E12" s="8">
        <f>efficacy!O13</f>
        <v>53.174722222219799</v>
      </c>
      <c r="F12" s="6">
        <f>efficacy!P13</f>
        <v>34.516666666667398</v>
      </c>
      <c r="G12" s="6">
        <f>efficacy!Q13</f>
        <v>3.3491666666667199</v>
      </c>
      <c r="H12" s="8">
        <f>efficacy!R13</f>
        <v>1.1466666666666601</v>
      </c>
      <c r="I12" t="str">
        <f>efficacy!S13 &amp; " ("&amp;TEXT(efficacy!T13,"0.00")&amp;")"</f>
        <v>1 (2.83)</v>
      </c>
    </row>
    <row r="13" spans="1:9">
      <c r="B13" t="str">
        <f>utility!L14</f>
        <v>BOIN-ET</v>
      </c>
      <c r="C13" s="6">
        <f>efficacy!M14</f>
        <v>59.649999999997398</v>
      </c>
      <c r="D13" s="6">
        <f>efficacy!N14</f>
        <v>70.670000000000996</v>
      </c>
      <c r="E13" s="6">
        <f>efficacy!O14</f>
        <v>52.999722222219702</v>
      </c>
      <c r="F13" s="6">
        <f>efficacy!P14</f>
        <v>34.596666666668199</v>
      </c>
      <c r="G13" s="6">
        <f>efficacy!Q14</f>
        <v>3.6319444444444899</v>
      </c>
      <c r="H13" s="6">
        <f>efficacy!R14</f>
        <v>1.42</v>
      </c>
      <c r="I13" t="str">
        <f>efficacy!S14 &amp; " ("&amp;TEXT(efficacy!T14,"0.00")&amp;")"</f>
        <v>6 (4.67)</v>
      </c>
    </row>
    <row r="14" spans="1:9">
      <c r="B14" t="str">
        <f>utility!L15</f>
        <v>Joint3+3</v>
      </c>
      <c r="C14" s="6">
        <f>efficacy!M15</f>
        <v>60.299999999997098</v>
      </c>
      <c r="D14" s="6">
        <f>efficacy!N15</f>
        <v>72.140000000001294</v>
      </c>
      <c r="E14" s="6">
        <f>efficacy!O15</f>
        <v>52.308611111108704</v>
      </c>
      <c r="F14" s="6">
        <f>efficacy!P15</f>
        <v>34.796666666668301</v>
      </c>
      <c r="G14" s="6">
        <f>efficacy!Q15</f>
        <v>4.5891666666667099</v>
      </c>
      <c r="H14" s="6">
        <f>efficacy!R15</f>
        <v>1.38333333333333</v>
      </c>
      <c r="I14" t="str">
        <f>efficacy!S15 &amp; " ("&amp;TEXT(efficacy!T15,"0.00")&amp;")"</f>
        <v>4 (3.83)</v>
      </c>
    </row>
    <row r="15" spans="1:9">
      <c r="B15" t="str">
        <f>utility!L16</f>
        <v>STEIN</v>
      </c>
      <c r="C15" s="6">
        <f>efficacy!M16</f>
        <v>59.796666666665203</v>
      </c>
      <c r="D15" s="6">
        <f>efficacy!N16</f>
        <v>70.320000000001798</v>
      </c>
      <c r="E15" s="6">
        <f>efficacy!O16</f>
        <v>52.094166666665103</v>
      </c>
      <c r="F15" s="6">
        <f>efficacy!P16</f>
        <v>34.493333333333503</v>
      </c>
      <c r="G15" s="8">
        <f>efficacy!Q16</f>
        <v>2.4113888888888999</v>
      </c>
      <c r="H15" s="6">
        <f>efficacy!R16</f>
        <v>1.2466666666666599</v>
      </c>
      <c r="I15" t="str">
        <f>efficacy!S16 &amp; " ("&amp;TEXT(efficacy!T16,"0.00")&amp;")"</f>
        <v>3 (3.67)</v>
      </c>
    </row>
    <row r="16" spans="1:9">
      <c r="B16" t="str">
        <f>utility!L17</f>
        <v>PRINTE</v>
      </c>
      <c r="C16" s="6">
        <f>efficacy!M17</f>
        <v>59.936666666664301</v>
      </c>
      <c r="D16" s="6">
        <f>efficacy!N17</f>
        <v>71.453333333334797</v>
      </c>
      <c r="E16" s="6">
        <f>efficacy!O17</f>
        <v>51.387222222219798</v>
      </c>
      <c r="F16" s="6">
        <f>efficacy!P17</f>
        <v>36.253333333334503</v>
      </c>
      <c r="G16" s="6">
        <f>efficacy!Q17</f>
        <v>3.13111111111114</v>
      </c>
      <c r="H16" s="6">
        <f>efficacy!R17</f>
        <v>1.35666666666666</v>
      </c>
      <c r="I16" t="str">
        <f>efficacy!S17 &amp; " ("&amp;TEXT(efficacy!T17,"0.00")&amp;")"</f>
        <v>5 (4.17)</v>
      </c>
    </row>
    <row r="17" spans="1:9">
      <c r="B17" t="str">
        <f>utility!L18</f>
        <v>TEPI</v>
      </c>
      <c r="C17" s="6">
        <f>efficacy!M18</f>
        <v>60.289999999996603</v>
      </c>
      <c r="D17" s="6">
        <f>efficacy!N18</f>
        <v>72.950000000001097</v>
      </c>
      <c r="E17" s="6">
        <f>efficacy!O18</f>
        <v>45.5916666666648</v>
      </c>
      <c r="F17" s="6">
        <f>efficacy!P18</f>
        <v>41.943333333332198</v>
      </c>
      <c r="G17" s="6">
        <f>efficacy!Q18</f>
        <v>7.0111111111111502</v>
      </c>
      <c r="H17" s="6">
        <f>efficacy!R18</f>
        <v>1.5233333333333301</v>
      </c>
      <c r="I17" t="str">
        <f>efficacy!S18 &amp; " ("&amp;TEXT(efficacy!T18,"0.00")&amp;")"</f>
        <v>7 (5.33)</v>
      </c>
    </row>
    <row r="18" spans="1:9">
      <c r="B18" t="str">
        <f>utility!L19</f>
        <v>BOIN12</v>
      </c>
      <c r="C18" s="8">
        <f>efficacy!M19</f>
        <v>61.733333333329703</v>
      </c>
      <c r="D18" s="8">
        <f>efficacy!N19</f>
        <v>74.850000000001799</v>
      </c>
      <c r="E18" s="6">
        <f>efficacy!O19</f>
        <v>50.942777777776698</v>
      </c>
      <c r="F18" s="8">
        <f>efficacy!P19</f>
        <v>26.963333333334202</v>
      </c>
      <c r="G18" s="6">
        <f>efficacy!Q19</f>
        <v>4.5888888888889898</v>
      </c>
      <c r="H18" s="6">
        <f>efficacy!R19</f>
        <v>1.9266666666666601</v>
      </c>
      <c r="I18" t="str">
        <f>efficacy!S19 &amp; " ("&amp;TEXT(efficacy!T19,"0.00")&amp;")"</f>
        <v>2 (3.50)</v>
      </c>
    </row>
    <row r="20" spans="1:9">
      <c r="A20" s="9" t="s">
        <v>43</v>
      </c>
      <c r="B20" s="9"/>
      <c r="C20" s="9"/>
      <c r="D20" s="9"/>
      <c r="E20" s="9"/>
      <c r="F20" s="9"/>
      <c r="G20" s="9"/>
      <c r="H20" s="9"/>
      <c r="I20" s="9"/>
    </row>
    <row r="21" spans="1:9">
      <c r="A21">
        <v>36</v>
      </c>
      <c r="B21" t="str">
        <f>efficacy!L5</f>
        <v>uTPI</v>
      </c>
      <c r="C21" s="8">
        <f>utility!M5</f>
        <v>57.846666666666501</v>
      </c>
      <c r="D21" s="6">
        <f>utility!N5</f>
        <v>67.176666666667202</v>
      </c>
      <c r="E21" s="6">
        <f>utility!O5</f>
        <v>49.076111111109199</v>
      </c>
      <c r="F21" s="6">
        <f>utility!P5</f>
        <v>28.5766666666673</v>
      </c>
      <c r="G21" s="6">
        <f>utility!Q5</f>
        <v>4.7477777777778103</v>
      </c>
      <c r="H21" s="6">
        <f>utility!R5</f>
        <v>1.01</v>
      </c>
      <c r="I21" t="str">
        <f>utility!S5 &amp; " ("&amp;TEXT(utility!T5,"0.00")&amp;")"</f>
        <v>2 (2.67)</v>
      </c>
    </row>
    <row r="22" spans="1:9">
      <c r="B22" t="str">
        <f>efficacy!L6</f>
        <v>BOIN-ET</v>
      </c>
      <c r="C22" s="6">
        <f>utility!M6</f>
        <v>57.636666666666699</v>
      </c>
      <c r="D22" s="6">
        <f>utility!N6</f>
        <v>66.853333333333893</v>
      </c>
      <c r="E22" s="8">
        <f>utility!O6</f>
        <v>49.747222222220302</v>
      </c>
      <c r="F22" s="6">
        <f>utility!P6</f>
        <v>30.5433333333348</v>
      </c>
      <c r="G22" s="6">
        <f>utility!Q6</f>
        <v>4.5427777777777996</v>
      </c>
      <c r="H22" s="6">
        <f>utility!R6</f>
        <v>0.9</v>
      </c>
      <c r="I22" t="str">
        <f>utility!S6 &amp; " ("&amp;TEXT(utility!T6,"0.00")&amp;")"</f>
        <v>1 (2.50)</v>
      </c>
    </row>
    <row r="23" spans="1:9">
      <c r="B23" t="str">
        <f>efficacy!L7</f>
        <v>Joint3+3</v>
      </c>
      <c r="C23" s="6">
        <f>utility!M7</f>
        <v>57.299999999999599</v>
      </c>
      <c r="D23" s="6">
        <f>utility!N7</f>
        <v>66.760000000000204</v>
      </c>
      <c r="E23" s="6">
        <f>utility!O7</f>
        <v>48.847777777775804</v>
      </c>
      <c r="F23" s="6">
        <f>utility!P7</f>
        <v>32.1733333333353</v>
      </c>
      <c r="G23" s="6">
        <f>utility!Q7</f>
        <v>5.3972222222222701</v>
      </c>
      <c r="H23" s="6">
        <f>utility!R7</f>
        <v>0.99333333333333396</v>
      </c>
      <c r="I23" t="str">
        <f>utility!S7 &amp; " ("&amp;TEXT(utility!T7,"0.00")&amp;")"</f>
        <v>5 (4.17)</v>
      </c>
    </row>
    <row r="24" spans="1:9">
      <c r="B24" t="str">
        <f>efficacy!L8</f>
        <v>STEIN</v>
      </c>
      <c r="C24" s="6">
        <f>utility!M8</f>
        <v>56.396666666667102</v>
      </c>
      <c r="D24" s="6">
        <f>utility!N8</f>
        <v>65.543333333334203</v>
      </c>
      <c r="E24" s="6">
        <f>utility!O8</f>
        <v>48.0005555555542</v>
      </c>
      <c r="F24" s="6">
        <f>utility!P8</f>
        <v>31.343333333333099</v>
      </c>
      <c r="G24" s="8">
        <f>utility!Q8</f>
        <v>3.0105555555555501</v>
      </c>
      <c r="H24" s="6">
        <f>utility!R8</f>
        <v>0.89333333333333398</v>
      </c>
      <c r="I24" t="str">
        <f>utility!S8 &amp; " ("&amp;TEXT(utility!T8,"0.00")&amp;")"</f>
        <v>3 (3.67)</v>
      </c>
    </row>
    <row r="25" spans="1:9">
      <c r="B25" t="str">
        <f>efficacy!L9</f>
        <v>PRINTE</v>
      </c>
      <c r="C25" s="6">
        <f>utility!M9</f>
        <v>56.040000000000198</v>
      </c>
      <c r="D25" s="6">
        <f>utility!N9</f>
        <v>65.300000000000793</v>
      </c>
      <c r="E25" s="6">
        <f>utility!O9</f>
        <v>47.388333333331403</v>
      </c>
      <c r="F25" s="6">
        <f>utility!P9</f>
        <v>33.626666666667397</v>
      </c>
      <c r="G25" s="6">
        <f>utility!Q9</f>
        <v>3.5116666666666498</v>
      </c>
      <c r="H25" s="8">
        <f>utility!R9</f>
        <v>0.82333333333333303</v>
      </c>
      <c r="I25" t="str">
        <f>utility!S9 &amp; " ("&amp;TEXT(utility!T9,"0.00")&amp;")"</f>
        <v>6 (4.50)</v>
      </c>
    </row>
    <row r="26" spans="1:9">
      <c r="B26" t="str">
        <f>efficacy!L10</f>
        <v>TEPI</v>
      </c>
      <c r="C26" s="6">
        <f>utility!M10</f>
        <v>55.886666666665597</v>
      </c>
      <c r="D26" s="6">
        <f>utility!N10</f>
        <v>65.893333333333601</v>
      </c>
      <c r="E26" s="6">
        <f>utility!O10</f>
        <v>40.0822222222207</v>
      </c>
      <c r="F26" s="6">
        <f>utility!P10</f>
        <v>35.680000000001201</v>
      </c>
      <c r="G26" s="6">
        <f>utility!Q10</f>
        <v>7.4994444444445598</v>
      </c>
      <c r="H26" s="6">
        <f>utility!R10</f>
        <v>1.14333333333333</v>
      </c>
      <c r="I26" t="str">
        <f>utility!S10 &amp; " ("&amp;TEXT(utility!T10,"0.00")&amp;")"</f>
        <v>7 (6.50)</v>
      </c>
    </row>
    <row r="27" spans="1:9">
      <c r="B27" t="str">
        <f>efficacy!L11</f>
        <v>BOIN12</v>
      </c>
      <c r="C27" s="6">
        <f>utility!M11</f>
        <v>57.1966666666655</v>
      </c>
      <c r="D27" s="8">
        <f>utility!N11</f>
        <v>67.203333333333504</v>
      </c>
      <c r="E27" s="6">
        <f>utility!O11</f>
        <v>46.389444444443498</v>
      </c>
      <c r="F27" s="8">
        <f>utility!P11</f>
        <v>25.360000000000099</v>
      </c>
      <c r="G27" s="6">
        <f>utility!Q11</f>
        <v>5.2700000000001204</v>
      </c>
      <c r="H27" s="6">
        <f>utility!R11</f>
        <v>1.2733333333333301</v>
      </c>
      <c r="I27" t="str">
        <f>utility!S11 &amp; " ("&amp;TEXT(utility!T11,"0.00")&amp;")"</f>
        <v>4 (4.00)</v>
      </c>
    </row>
    <row r="29" spans="1:9">
      <c r="A29">
        <v>54</v>
      </c>
      <c r="B29" t="str">
        <f>efficacy!L13</f>
        <v>uTPI</v>
      </c>
      <c r="C29" s="6">
        <f>utility!M13</f>
        <v>62.163333333332901</v>
      </c>
      <c r="D29" s="6">
        <f>utility!N13</f>
        <v>71.880000000001402</v>
      </c>
      <c r="E29" s="6">
        <f>utility!O13</f>
        <v>54.6141666666649</v>
      </c>
      <c r="F29" s="6">
        <f>utility!P13</f>
        <v>30.390000000000502</v>
      </c>
      <c r="G29" s="6">
        <f>utility!Q13</f>
        <v>3.3263888888889399</v>
      </c>
      <c r="H29" s="6">
        <f>utility!R13</f>
        <v>0.56333333333333402</v>
      </c>
      <c r="I29" t="str">
        <f>utility!S13 &amp; " ("&amp;TEXT(utility!T13,"0.00")&amp;")"</f>
        <v>1.5 (2.83)</v>
      </c>
    </row>
    <row r="30" spans="1:9">
      <c r="B30" t="str">
        <f>efficacy!L14</f>
        <v>BOIN-ET</v>
      </c>
      <c r="C30" s="6">
        <f>utility!M14</f>
        <v>60.539999999999402</v>
      </c>
      <c r="D30" s="6">
        <f>utility!N14</f>
        <v>70.133333333334207</v>
      </c>
      <c r="E30" s="8">
        <f>utility!O14</f>
        <v>54.683333333330701</v>
      </c>
      <c r="F30" s="6">
        <f>utility!P14</f>
        <v>32.660000000001801</v>
      </c>
      <c r="G30" s="6">
        <f>utility!Q14</f>
        <v>3.58694444444449</v>
      </c>
      <c r="H30" s="6">
        <f>utility!R14</f>
        <v>0.46333333333333399</v>
      </c>
      <c r="I30" t="str">
        <f>utility!S14 &amp; " ("&amp;TEXT(utility!T14,"0.00")&amp;")"</f>
        <v>4 (3.83)</v>
      </c>
    </row>
    <row r="31" spans="1:9">
      <c r="B31" t="str">
        <f>efficacy!L15</f>
        <v>Joint3+3</v>
      </c>
      <c r="C31" s="6">
        <f>utility!M15</f>
        <v>61.136666666666002</v>
      </c>
      <c r="D31" s="6">
        <f>utility!N15</f>
        <v>70.473333333334196</v>
      </c>
      <c r="E31" s="6">
        <f>utility!O15</f>
        <v>53.748611111108701</v>
      </c>
      <c r="F31" s="6">
        <f>utility!P15</f>
        <v>33.2666666666683</v>
      </c>
      <c r="G31" s="6">
        <f>utility!Q15</f>
        <v>4.51750000000004</v>
      </c>
      <c r="H31" s="6">
        <f>utility!R15</f>
        <v>0.48</v>
      </c>
      <c r="I31" t="str">
        <f>utility!S15 &amp; " ("&amp;TEXT(utility!T15,"0.00")&amp;")"</f>
        <v>5 (4.17)</v>
      </c>
    </row>
    <row r="32" spans="1:9">
      <c r="B32" t="str">
        <f>efficacy!L16</f>
        <v>STEIN</v>
      </c>
      <c r="C32" s="6">
        <f>utility!M16</f>
        <v>61.106666666666698</v>
      </c>
      <c r="D32" s="6">
        <f>utility!N16</f>
        <v>70.173333333334796</v>
      </c>
      <c r="E32" s="6">
        <f>utility!O16</f>
        <v>53.795277777776199</v>
      </c>
      <c r="F32" s="6">
        <f>utility!P16</f>
        <v>32.320000000000398</v>
      </c>
      <c r="G32" s="8">
        <f>utility!Q16</f>
        <v>2.3966666666666701</v>
      </c>
      <c r="H32" s="6">
        <f>utility!R16</f>
        <v>0.44666666666666699</v>
      </c>
      <c r="I32" t="str">
        <f>utility!S16 &amp; " ("&amp;TEXT(utility!T16,"0.00")&amp;")"</f>
        <v>1.5 (2.83)</v>
      </c>
    </row>
    <row r="33" spans="2:9">
      <c r="B33" t="str">
        <f>efficacy!L17</f>
        <v>PRINTE</v>
      </c>
      <c r="C33" s="6">
        <f>utility!M17</f>
        <v>60.586666666666403</v>
      </c>
      <c r="D33" s="6">
        <f>utility!N17</f>
        <v>69.7633333333346</v>
      </c>
      <c r="E33" s="6">
        <f>utility!O17</f>
        <v>52.475277777775403</v>
      </c>
      <c r="F33" s="6">
        <f>utility!P17</f>
        <v>35.073333333334801</v>
      </c>
      <c r="G33" s="6">
        <f>utility!Q17</f>
        <v>3.1261111111111299</v>
      </c>
      <c r="H33" s="8">
        <f>utility!R17</f>
        <v>0.44333333333333402</v>
      </c>
      <c r="I33" t="str">
        <f>utility!S17 &amp; " ("&amp;TEXT(utility!T17,"0.00")&amp;")"</f>
        <v>6 (4.33)</v>
      </c>
    </row>
    <row r="34" spans="2:9">
      <c r="B34" t="str">
        <f>efficacy!L18</f>
        <v>TEPI</v>
      </c>
      <c r="C34" s="6">
        <f>utility!M18</f>
        <v>59.883333333332097</v>
      </c>
      <c r="D34" s="6">
        <f>utility!N18</f>
        <v>69.863333333333998</v>
      </c>
      <c r="E34" s="6">
        <f>utility!O18</f>
        <v>44.898333333331401</v>
      </c>
      <c r="F34" s="6">
        <f>utility!P18</f>
        <v>43.059999999998603</v>
      </c>
      <c r="G34" s="6">
        <f>utility!Q18</f>
        <v>7.09388888888894</v>
      </c>
      <c r="H34" s="6">
        <f>utility!R18</f>
        <v>0.51</v>
      </c>
      <c r="I34" t="str">
        <f>utility!S18 &amp; " ("&amp;TEXT(utility!T18,"0.00")&amp;")"</f>
        <v>7 (6.50)</v>
      </c>
    </row>
    <row r="35" spans="2:9">
      <c r="B35" t="str">
        <f>efficacy!L19</f>
        <v>BOIN12</v>
      </c>
      <c r="C35" s="8">
        <f>utility!M19</f>
        <v>62.463333333332201</v>
      </c>
      <c r="D35" s="8">
        <f>utility!N19</f>
        <v>72.550000000001106</v>
      </c>
      <c r="E35" s="6">
        <f>utility!O19</f>
        <v>52.2558333333318</v>
      </c>
      <c r="F35" s="8">
        <f>utility!P19</f>
        <v>27.243333333333599</v>
      </c>
      <c r="G35" s="6">
        <f>utility!Q19</f>
        <v>3.6833333333334499</v>
      </c>
      <c r="H35" s="6">
        <f>utility!R19</f>
        <v>0.73</v>
      </c>
      <c r="I35" t="str">
        <f>utility!S19 &amp; " ("&amp;TEXT(utility!T19,"0.00")&amp;")"</f>
        <v>3 (3.50)</v>
      </c>
    </row>
  </sheetData>
  <mergeCells count="2">
    <mergeCell ref="A3:I3"/>
    <mergeCell ref="A20:I20"/>
  </mergeCell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2BB6A-256C-4F50-9FF6-B87408ABB472}">
  <sheetPr codeName="Sheet1"/>
  <dimension ref="A1:Z20"/>
  <sheetViews>
    <sheetView topLeftCell="H1" workbookViewId="0">
      <selection activeCell="S16" sqref="S16"/>
    </sheetView>
  </sheetViews>
  <sheetFormatPr defaultRowHeight="14.75"/>
  <cols>
    <col min="1" max="1" width="10.58984375" bestFit="1" customWidth="1"/>
    <col min="2" max="2" width="8.40625" bestFit="1" customWidth="1"/>
    <col min="3" max="4" width="12.04296875" bestFit="1" customWidth="1"/>
    <col min="5" max="5" width="12.31640625" bestFit="1" customWidth="1"/>
    <col min="6" max="6" width="13.04296875" bestFit="1" customWidth="1"/>
    <col min="7" max="7" width="14.81640625" bestFit="1" customWidth="1"/>
    <col min="8" max="8" width="11.90625" bestFit="1" customWidth="1"/>
    <col min="9" max="10" width="5.6796875" bestFit="1" customWidth="1"/>
    <col min="11" max="11" width="7.26953125" bestFit="1" customWidth="1"/>
    <col min="12" max="12" width="7.54296875" bestFit="1" customWidth="1"/>
    <col min="13" max="14" width="12.04296875" bestFit="1" customWidth="1"/>
    <col min="15" max="15" width="12.31640625" bestFit="1" customWidth="1"/>
    <col min="16" max="16" width="13.04296875" bestFit="1" customWidth="1"/>
    <col min="17" max="17" width="14.81640625" bestFit="1" customWidth="1"/>
    <col min="18" max="18" width="14.81640625" customWidth="1"/>
    <col min="19" max="19" width="10.58984375" bestFit="1" customWidth="1"/>
    <col min="20" max="20" width="10.58984375" customWidth="1"/>
  </cols>
  <sheetData>
    <row r="1" spans="1:26">
      <c r="A1" s="1" t="s">
        <v>2</v>
      </c>
      <c r="B1" s="2">
        <v>1</v>
      </c>
    </row>
    <row r="2" spans="1:26">
      <c r="A2" s="1" t="s">
        <v>1</v>
      </c>
      <c r="B2" s="2">
        <v>2</v>
      </c>
    </row>
    <row r="3" spans="1:26">
      <c r="T3" t="e" cm="1">
        <f t="array" aca="1" ref="T3" ca="1">format(T5,"0.00")</f>
        <v>#NAME?</v>
      </c>
    </row>
    <row r="4" spans="1:26">
      <c r="A4" s="1" t="s">
        <v>0</v>
      </c>
      <c r="B4" s="1" t="s">
        <v>10</v>
      </c>
      <c r="C4" t="s">
        <v>19</v>
      </c>
      <c r="D4" t="s">
        <v>20</v>
      </c>
      <c r="E4" t="s">
        <v>21</v>
      </c>
      <c r="F4" t="s">
        <v>22</v>
      </c>
      <c r="G4" t="s">
        <v>23</v>
      </c>
      <c r="H4" t="s">
        <v>38</v>
      </c>
      <c r="K4" t="s">
        <v>31</v>
      </c>
      <c r="L4" t="s">
        <v>32</v>
      </c>
      <c r="M4" t="s">
        <v>33</v>
      </c>
      <c r="N4" t="s">
        <v>34</v>
      </c>
      <c r="O4" t="s">
        <v>35</v>
      </c>
      <c r="P4" t="s">
        <v>36</v>
      </c>
      <c r="Q4" t="s">
        <v>39</v>
      </c>
      <c r="R4" t="s">
        <v>40</v>
      </c>
      <c r="S4" t="s">
        <v>41</v>
      </c>
    </row>
    <row r="5" spans="1:26">
      <c r="A5">
        <v>6</v>
      </c>
      <c r="B5" t="s">
        <v>11</v>
      </c>
      <c r="C5" s="3">
        <v>57.166666666664902</v>
      </c>
      <c r="D5" s="3">
        <v>67.696666666667895</v>
      </c>
      <c r="E5" s="3">
        <v>48.3966666666647</v>
      </c>
      <c r="F5" s="3">
        <v>30.4433333333339</v>
      </c>
      <c r="G5" s="3">
        <v>4.53833333333335</v>
      </c>
      <c r="H5" s="3">
        <v>2.0999999999999899</v>
      </c>
      <c r="J5" t="str">
        <f>IF(_xlfn.RANK.AVG(M5,$M$5:$M$12)=1,1,"")</f>
        <v/>
      </c>
      <c r="K5" s="7">
        <v>36</v>
      </c>
      <c r="L5" t="s">
        <v>24</v>
      </c>
      <c r="M5" s="6">
        <f t="shared" ref="M5:R11" si="0">C5</f>
        <v>57.166666666664902</v>
      </c>
      <c r="N5" s="6">
        <f t="shared" si="0"/>
        <v>67.696666666667895</v>
      </c>
      <c r="O5" s="8">
        <f t="shared" si="0"/>
        <v>48.3966666666647</v>
      </c>
      <c r="P5" s="6">
        <f t="shared" si="0"/>
        <v>30.4433333333339</v>
      </c>
      <c r="Q5" s="6">
        <f t="shared" si="0"/>
        <v>4.53833333333335</v>
      </c>
      <c r="R5" s="8">
        <f t="shared" si="0"/>
        <v>2.0999999999999899</v>
      </c>
      <c r="S5" s="7">
        <f>_xlfn.RANK.AVG(T5,$T$5:$T$11,1)</f>
        <v>1</v>
      </c>
      <c r="T5">
        <f>AVERAGE(U5:Z5)</f>
        <v>2.5</v>
      </c>
      <c r="U5">
        <f>(_xlfn.RANK.AVG(M5,M$5:M$11))</f>
        <v>2</v>
      </c>
      <c r="V5">
        <f t="shared" ref="V5:W11" si="1">(_xlfn.RANK.AVG(N5,N$5:N$11))</f>
        <v>5</v>
      </c>
      <c r="W5">
        <f t="shared" si="1"/>
        <v>1</v>
      </c>
      <c r="X5">
        <f>(_xlfn.RANK.AVG(P5,P$5:P$11,1))</f>
        <v>2</v>
      </c>
      <c r="Y5">
        <f>(_xlfn.RANK.AVG(Q5,Q$5:Q$11,1))</f>
        <v>3</v>
      </c>
      <c r="Z5">
        <f>(_xlfn.RANK.AVG(R5,R$5:R$11,1))</f>
        <v>2</v>
      </c>
    </row>
    <row r="6" spans="1:26">
      <c r="B6" t="s">
        <v>12</v>
      </c>
      <c r="C6" s="3">
        <v>56.9666666666647</v>
      </c>
      <c r="D6" s="3">
        <v>67.726666666667597</v>
      </c>
      <c r="E6" s="3">
        <v>48.389999999997798</v>
      </c>
      <c r="F6" s="3">
        <v>32.166666666668</v>
      </c>
      <c r="G6" s="3">
        <v>4.7577777777778003</v>
      </c>
      <c r="H6" s="3">
        <v>2.0333333333333199</v>
      </c>
      <c r="J6" t="str">
        <f t="shared" ref="J6" si="2">IF(_xlfn.RANK.AVG(M6,$M$5:$M$12)=1,1,"")</f>
        <v/>
      </c>
      <c r="K6" s="4"/>
      <c r="L6" t="s">
        <v>25</v>
      </c>
      <c r="M6" s="6">
        <f t="shared" si="0"/>
        <v>56.9666666666647</v>
      </c>
      <c r="N6" s="6">
        <f t="shared" si="0"/>
        <v>67.726666666667597</v>
      </c>
      <c r="O6" s="6">
        <f t="shared" si="0"/>
        <v>48.389999999997798</v>
      </c>
      <c r="P6" s="6">
        <f t="shared" si="0"/>
        <v>32.166666666668</v>
      </c>
      <c r="Q6" s="6">
        <f t="shared" si="0"/>
        <v>4.7577777777778003</v>
      </c>
      <c r="R6" s="6">
        <f t="shared" si="0"/>
        <v>2.0333333333333199</v>
      </c>
      <c r="S6" s="7">
        <f t="shared" ref="S6:S11" si="3">_xlfn.RANK.AVG(T6,$T$5:$T$11,1)</f>
        <v>2</v>
      </c>
      <c r="T6">
        <f t="shared" ref="T6:T19" si="4">AVERAGE(U6:Z6)</f>
        <v>3</v>
      </c>
      <c r="U6">
        <f t="shared" ref="U6:U11" si="5">(_xlfn.RANK.AVG(M6,M$5:M$11))</f>
        <v>4</v>
      </c>
      <c r="V6">
        <f t="shared" si="1"/>
        <v>4</v>
      </c>
      <c r="W6">
        <f t="shared" si="1"/>
        <v>2</v>
      </c>
      <c r="X6">
        <f t="shared" ref="X6:Z11" si="6">(_xlfn.RANK.AVG(P6,P$5:P$11,1))</f>
        <v>3</v>
      </c>
      <c r="Y6">
        <f t="shared" si="6"/>
        <v>4</v>
      </c>
      <c r="Z6">
        <f t="shared" si="6"/>
        <v>1</v>
      </c>
    </row>
    <row r="7" spans="1:26">
      <c r="B7" t="s">
        <v>15</v>
      </c>
      <c r="C7" s="3">
        <v>57.036666666664303</v>
      </c>
      <c r="D7" s="3">
        <v>68.263333333334302</v>
      </c>
      <c r="E7" s="3">
        <v>47.827777777775601</v>
      </c>
      <c r="F7" s="3">
        <v>33.476666666668301</v>
      </c>
      <c r="G7" s="3">
        <v>5.4538888888889199</v>
      </c>
      <c r="H7" s="3">
        <v>2.2166666666666499</v>
      </c>
      <c r="K7" s="4"/>
      <c r="L7" t="s">
        <v>26</v>
      </c>
      <c r="M7" s="6">
        <f t="shared" si="0"/>
        <v>57.036666666664303</v>
      </c>
      <c r="N7" s="6">
        <f t="shared" si="0"/>
        <v>68.263333333334302</v>
      </c>
      <c r="O7" s="6">
        <f t="shared" si="0"/>
        <v>47.827777777775601</v>
      </c>
      <c r="P7" s="6">
        <f t="shared" si="0"/>
        <v>33.476666666668301</v>
      </c>
      <c r="Q7" s="6">
        <f t="shared" si="0"/>
        <v>5.4538888888889199</v>
      </c>
      <c r="R7" s="6">
        <f t="shared" si="0"/>
        <v>2.2166666666666499</v>
      </c>
      <c r="S7" s="7">
        <f t="shared" si="3"/>
        <v>4</v>
      </c>
      <c r="T7">
        <f t="shared" si="4"/>
        <v>4</v>
      </c>
      <c r="U7">
        <f t="shared" si="5"/>
        <v>3</v>
      </c>
      <c r="V7">
        <f t="shared" si="1"/>
        <v>3</v>
      </c>
      <c r="W7">
        <f t="shared" si="1"/>
        <v>3</v>
      </c>
      <c r="X7">
        <f t="shared" si="6"/>
        <v>5</v>
      </c>
      <c r="Y7">
        <f t="shared" si="6"/>
        <v>5</v>
      </c>
      <c r="Z7">
        <f t="shared" si="6"/>
        <v>5</v>
      </c>
    </row>
    <row r="8" spans="1:26">
      <c r="B8" t="s">
        <v>17</v>
      </c>
      <c r="C8" s="3">
        <v>56.053333333332198</v>
      </c>
      <c r="D8" s="3">
        <v>66.0433333333348</v>
      </c>
      <c r="E8" s="3">
        <v>47.144999999998902</v>
      </c>
      <c r="F8" s="3">
        <v>32.859999999999701</v>
      </c>
      <c r="G8" s="3">
        <v>3.0449999999999902</v>
      </c>
      <c r="H8" s="3">
        <v>2.1033333333333202</v>
      </c>
      <c r="K8" s="4"/>
      <c r="L8" t="s">
        <v>27</v>
      </c>
      <c r="M8" s="6">
        <f t="shared" si="0"/>
        <v>56.053333333332198</v>
      </c>
      <c r="N8" s="6">
        <f t="shared" si="0"/>
        <v>66.0433333333348</v>
      </c>
      <c r="O8" s="6">
        <f t="shared" si="0"/>
        <v>47.144999999998902</v>
      </c>
      <c r="P8" s="6">
        <f t="shared" si="0"/>
        <v>32.859999999999701</v>
      </c>
      <c r="Q8" s="8">
        <f t="shared" si="0"/>
        <v>3.0449999999999902</v>
      </c>
      <c r="R8" s="6">
        <f t="shared" si="0"/>
        <v>2.1033333333333202</v>
      </c>
      <c r="S8" s="7">
        <f t="shared" si="3"/>
        <v>5</v>
      </c>
      <c r="T8">
        <f t="shared" si="4"/>
        <v>4.166666666666667</v>
      </c>
      <c r="U8">
        <f t="shared" si="5"/>
        <v>6</v>
      </c>
      <c r="V8">
        <f t="shared" si="1"/>
        <v>7</v>
      </c>
      <c r="W8">
        <f t="shared" si="1"/>
        <v>4</v>
      </c>
      <c r="X8">
        <f t="shared" si="6"/>
        <v>4</v>
      </c>
      <c r="Y8">
        <f t="shared" si="6"/>
        <v>1</v>
      </c>
      <c r="Z8">
        <f t="shared" si="6"/>
        <v>3</v>
      </c>
    </row>
    <row r="9" spans="1:26">
      <c r="B9" t="s">
        <v>16</v>
      </c>
      <c r="C9" s="3">
        <v>55.846666666665101</v>
      </c>
      <c r="D9" s="3">
        <v>66.416666666667794</v>
      </c>
      <c r="E9" s="3">
        <v>46.8433333333316</v>
      </c>
      <c r="F9" s="3">
        <v>34.616666666667101</v>
      </c>
      <c r="G9" s="3">
        <v>3.5199999999999898</v>
      </c>
      <c r="H9" s="3">
        <v>2.13333333333332</v>
      </c>
      <c r="K9" s="4"/>
      <c r="L9" t="s">
        <v>28</v>
      </c>
      <c r="M9" s="6">
        <f t="shared" si="0"/>
        <v>55.846666666665101</v>
      </c>
      <c r="N9" s="6">
        <f t="shared" si="0"/>
        <v>66.416666666667794</v>
      </c>
      <c r="O9" s="6">
        <f t="shared" si="0"/>
        <v>46.8433333333316</v>
      </c>
      <c r="P9" s="6">
        <f t="shared" si="0"/>
        <v>34.616666666667101</v>
      </c>
      <c r="Q9" s="6">
        <f t="shared" si="0"/>
        <v>3.5199999999999898</v>
      </c>
      <c r="R9" s="6">
        <f t="shared" si="0"/>
        <v>2.13333333333332</v>
      </c>
      <c r="S9" s="7">
        <f t="shared" si="3"/>
        <v>6</v>
      </c>
      <c r="T9">
        <f t="shared" si="4"/>
        <v>5.166666666666667</v>
      </c>
      <c r="U9">
        <f t="shared" si="5"/>
        <v>7</v>
      </c>
      <c r="V9">
        <f t="shared" si="1"/>
        <v>6</v>
      </c>
      <c r="W9">
        <f t="shared" si="1"/>
        <v>5</v>
      </c>
      <c r="X9">
        <f t="shared" si="6"/>
        <v>7</v>
      </c>
      <c r="Y9">
        <f t="shared" si="6"/>
        <v>2</v>
      </c>
      <c r="Z9">
        <f t="shared" si="6"/>
        <v>4</v>
      </c>
    </row>
    <row r="10" spans="1:26">
      <c r="B10" t="s">
        <v>13</v>
      </c>
      <c r="C10" s="3">
        <v>56.2233333333307</v>
      </c>
      <c r="D10" s="3">
        <v>68.596666666667403</v>
      </c>
      <c r="E10" s="3">
        <v>40.987222222220801</v>
      </c>
      <c r="F10" s="3">
        <v>34.016666666668002</v>
      </c>
      <c r="G10" s="3">
        <v>7.4372222222223296</v>
      </c>
      <c r="H10" s="3">
        <v>2.8433333333333</v>
      </c>
      <c r="K10" s="4"/>
      <c r="L10" t="s">
        <v>29</v>
      </c>
      <c r="M10" s="6">
        <f t="shared" si="0"/>
        <v>56.2233333333307</v>
      </c>
      <c r="N10" s="6">
        <f t="shared" si="0"/>
        <v>68.596666666667403</v>
      </c>
      <c r="O10" s="6">
        <f t="shared" si="0"/>
        <v>40.987222222220801</v>
      </c>
      <c r="P10" s="6">
        <f t="shared" si="0"/>
        <v>34.016666666668002</v>
      </c>
      <c r="Q10" s="6">
        <f t="shared" si="0"/>
        <v>7.4372222222223296</v>
      </c>
      <c r="R10" s="6">
        <f t="shared" si="0"/>
        <v>2.8433333333333</v>
      </c>
      <c r="S10" s="7">
        <f t="shared" si="3"/>
        <v>7</v>
      </c>
      <c r="T10">
        <f t="shared" si="4"/>
        <v>5.666666666666667</v>
      </c>
      <c r="U10">
        <f t="shared" si="5"/>
        <v>5</v>
      </c>
      <c r="V10">
        <f t="shared" si="1"/>
        <v>2</v>
      </c>
      <c r="W10">
        <f t="shared" si="1"/>
        <v>7</v>
      </c>
      <c r="X10">
        <f t="shared" si="6"/>
        <v>6</v>
      </c>
      <c r="Y10">
        <f t="shared" si="6"/>
        <v>7</v>
      </c>
      <c r="Z10">
        <f t="shared" si="6"/>
        <v>7</v>
      </c>
    </row>
    <row r="11" spans="1:26">
      <c r="B11" t="s">
        <v>14</v>
      </c>
      <c r="C11" s="3">
        <v>57.3999999999971</v>
      </c>
      <c r="D11" s="3">
        <v>70.560000000001097</v>
      </c>
      <c r="E11" s="3">
        <v>45.081666666665797</v>
      </c>
      <c r="F11" s="3">
        <v>23.400000000000301</v>
      </c>
      <c r="G11" s="3">
        <v>6.2555555555557296</v>
      </c>
      <c r="H11" s="3">
        <v>2.8233333333332999</v>
      </c>
      <c r="L11" t="s">
        <v>30</v>
      </c>
      <c r="M11" s="8">
        <f t="shared" si="0"/>
        <v>57.3999999999971</v>
      </c>
      <c r="N11" s="8">
        <f t="shared" si="0"/>
        <v>70.560000000001097</v>
      </c>
      <c r="O11" s="6">
        <f t="shared" si="0"/>
        <v>45.081666666665797</v>
      </c>
      <c r="P11" s="8">
        <f t="shared" si="0"/>
        <v>23.400000000000301</v>
      </c>
      <c r="Q11" s="6">
        <f t="shared" si="0"/>
        <v>6.2555555555557296</v>
      </c>
      <c r="R11" s="6">
        <f t="shared" si="0"/>
        <v>2.8233333333332999</v>
      </c>
      <c r="S11" s="7">
        <f t="shared" si="3"/>
        <v>3</v>
      </c>
      <c r="T11">
        <f t="shared" si="4"/>
        <v>3.5</v>
      </c>
      <c r="U11">
        <f t="shared" si="5"/>
        <v>1</v>
      </c>
      <c r="V11">
        <f t="shared" si="1"/>
        <v>1</v>
      </c>
      <c r="W11">
        <f t="shared" si="1"/>
        <v>6</v>
      </c>
      <c r="X11">
        <f t="shared" si="6"/>
        <v>1</v>
      </c>
      <c r="Y11">
        <f t="shared" si="6"/>
        <v>6</v>
      </c>
      <c r="Z11">
        <f t="shared" si="6"/>
        <v>6</v>
      </c>
    </row>
    <row r="12" spans="1:26">
      <c r="A12">
        <v>12</v>
      </c>
      <c r="B12" t="s">
        <v>11</v>
      </c>
      <c r="C12" s="3">
        <v>60.143333333331398</v>
      </c>
      <c r="D12" s="3">
        <v>70.6866666666687</v>
      </c>
      <c r="E12" s="3">
        <v>53.174722222219799</v>
      </c>
      <c r="F12" s="3">
        <v>34.516666666667398</v>
      </c>
      <c r="G12" s="3">
        <v>3.3491666666667199</v>
      </c>
      <c r="H12" s="3">
        <v>1.1466666666666601</v>
      </c>
      <c r="M12" s="5"/>
      <c r="N12" s="5"/>
      <c r="O12" s="5"/>
      <c r="P12" s="5"/>
      <c r="Q12" s="5"/>
      <c r="R12" s="5"/>
      <c r="S12" s="7"/>
    </row>
    <row r="13" spans="1:26">
      <c r="B13" t="s">
        <v>12</v>
      </c>
      <c r="C13" s="3">
        <v>59.649999999997398</v>
      </c>
      <c r="D13" s="3">
        <v>70.670000000000996</v>
      </c>
      <c r="E13" s="3">
        <v>52.999722222219702</v>
      </c>
      <c r="F13" s="3">
        <v>34.596666666668199</v>
      </c>
      <c r="G13" s="3">
        <v>3.6319444444444899</v>
      </c>
      <c r="H13" s="3">
        <v>1.42</v>
      </c>
      <c r="K13">
        <v>54</v>
      </c>
      <c r="L13" t="s">
        <v>24</v>
      </c>
      <c r="M13" s="6">
        <f t="shared" ref="M13:R19" si="7">C12</f>
        <v>60.143333333331398</v>
      </c>
      <c r="N13" s="6">
        <f t="shared" si="7"/>
        <v>70.6866666666687</v>
      </c>
      <c r="O13" s="8">
        <f t="shared" si="7"/>
        <v>53.174722222219799</v>
      </c>
      <c r="P13" s="6">
        <f t="shared" si="7"/>
        <v>34.516666666667398</v>
      </c>
      <c r="Q13" s="6">
        <f t="shared" si="7"/>
        <v>3.3491666666667199</v>
      </c>
      <c r="R13" s="8">
        <f t="shared" si="7"/>
        <v>1.1466666666666601</v>
      </c>
      <c r="S13" s="7">
        <f>_xlfn.RANK.EQ(T13,$T$13:$T$19,1)</f>
        <v>1</v>
      </c>
      <c r="T13">
        <f>AVERAGE(U13:Z13)</f>
        <v>2.8333333333333335</v>
      </c>
      <c r="U13">
        <f>(_xlfn.RANK.AVG(M13,M$13:M$19))</f>
        <v>4</v>
      </c>
      <c r="V13">
        <f t="shared" ref="V13:W19" si="8">(_xlfn.RANK.AVG(N13,N$13:N$19))</f>
        <v>5</v>
      </c>
      <c r="W13">
        <f t="shared" si="8"/>
        <v>1</v>
      </c>
      <c r="X13">
        <f>(_xlfn.RANK.AVG(P13,P$13:P$19,1))</f>
        <v>3</v>
      </c>
      <c r="Y13">
        <f>(_xlfn.RANK.AVG(Q13,Q$13:Q$19,1))</f>
        <v>3</v>
      </c>
      <c r="Z13">
        <f>(_xlfn.RANK.AVG(R13,R$13:R$19,1))</f>
        <v>1</v>
      </c>
    </row>
    <row r="14" spans="1:26">
      <c r="B14" t="s">
        <v>15</v>
      </c>
      <c r="C14" s="3">
        <v>60.299999999997098</v>
      </c>
      <c r="D14" s="3">
        <v>72.140000000001294</v>
      </c>
      <c r="E14" s="3">
        <v>52.308611111108704</v>
      </c>
      <c r="F14" s="3">
        <v>34.796666666668301</v>
      </c>
      <c r="G14" s="3">
        <v>4.5891666666667099</v>
      </c>
      <c r="H14" s="3">
        <v>1.38333333333333</v>
      </c>
      <c r="L14" t="s">
        <v>25</v>
      </c>
      <c r="M14" s="6">
        <f t="shared" si="7"/>
        <v>59.649999999997398</v>
      </c>
      <c r="N14" s="6">
        <f t="shared" si="7"/>
        <v>70.670000000000996</v>
      </c>
      <c r="O14" s="6">
        <f t="shared" si="7"/>
        <v>52.999722222219702</v>
      </c>
      <c r="P14" s="6">
        <f t="shared" si="7"/>
        <v>34.596666666668199</v>
      </c>
      <c r="Q14" s="6">
        <f t="shared" si="7"/>
        <v>3.6319444444444899</v>
      </c>
      <c r="R14" s="6">
        <f t="shared" si="7"/>
        <v>1.42</v>
      </c>
      <c r="S14" s="7">
        <f t="shared" ref="S14:S19" si="9">_xlfn.RANK.EQ(T14,$T$13:$T$19,1)</f>
        <v>6</v>
      </c>
      <c r="T14">
        <f>AVERAGE(U14:Z14)</f>
        <v>4.666666666666667</v>
      </c>
      <c r="U14">
        <f t="shared" ref="U14:U19" si="10">(_xlfn.RANK.AVG(M14,M$13:M$19))</f>
        <v>7</v>
      </c>
      <c r="V14">
        <f t="shared" si="8"/>
        <v>6</v>
      </c>
      <c r="W14">
        <f t="shared" si="8"/>
        <v>2</v>
      </c>
      <c r="X14">
        <f t="shared" ref="X14:Z19" si="11">(_xlfn.RANK.AVG(P14,P$13:P$19,1))</f>
        <v>4</v>
      </c>
      <c r="Y14">
        <f t="shared" si="11"/>
        <v>4</v>
      </c>
      <c r="Z14">
        <f t="shared" si="11"/>
        <v>5</v>
      </c>
    </row>
    <row r="15" spans="1:26">
      <c r="B15" t="s">
        <v>17</v>
      </c>
      <c r="C15" s="3">
        <v>59.796666666665203</v>
      </c>
      <c r="D15" s="3">
        <v>70.320000000001798</v>
      </c>
      <c r="E15" s="3">
        <v>52.094166666665103</v>
      </c>
      <c r="F15" s="3">
        <v>34.493333333333503</v>
      </c>
      <c r="G15" s="3">
        <v>2.4113888888888999</v>
      </c>
      <c r="H15" s="3">
        <v>1.2466666666666599</v>
      </c>
      <c r="L15" t="s">
        <v>26</v>
      </c>
      <c r="M15" s="6">
        <f t="shared" si="7"/>
        <v>60.299999999997098</v>
      </c>
      <c r="N15" s="6">
        <f t="shared" si="7"/>
        <v>72.140000000001294</v>
      </c>
      <c r="O15" s="6">
        <f t="shared" si="7"/>
        <v>52.308611111108704</v>
      </c>
      <c r="P15" s="6">
        <f t="shared" si="7"/>
        <v>34.796666666668301</v>
      </c>
      <c r="Q15" s="6">
        <f t="shared" si="7"/>
        <v>4.5891666666667099</v>
      </c>
      <c r="R15" s="6">
        <f t="shared" si="7"/>
        <v>1.38333333333333</v>
      </c>
      <c r="S15" s="7">
        <f t="shared" si="9"/>
        <v>4</v>
      </c>
      <c r="T15">
        <f t="shared" si="4"/>
        <v>3.8333333333333335</v>
      </c>
      <c r="U15">
        <f t="shared" si="10"/>
        <v>2</v>
      </c>
      <c r="V15">
        <f t="shared" si="8"/>
        <v>3</v>
      </c>
      <c r="W15">
        <f t="shared" si="8"/>
        <v>3</v>
      </c>
      <c r="X15">
        <f t="shared" si="11"/>
        <v>5</v>
      </c>
      <c r="Y15">
        <f t="shared" si="11"/>
        <v>6</v>
      </c>
      <c r="Z15">
        <f t="shared" si="11"/>
        <v>4</v>
      </c>
    </row>
    <row r="16" spans="1:26">
      <c r="B16" t="s">
        <v>16</v>
      </c>
      <c r="C16" s="3">
        <v>59.936666666664301</v>
      </c>
      <c r="D16" s="3">
        <v>71.453333333334797</v>
      </c>
      <c r="E16" s="3">
        <v>51.387222222219798</v>
      </c>
      <c r="F16" s="3">
        <v>36.253333333334503</v>
      </c>
      <c r="G16" s="3">
        <v>3.13111111111114</v>
      </c>
      <c r="H16" s="3">
        <v>1.35666666666666</v>
      </c>
      <c r="L16" t="s">
        <v>27</v>
      </c>
      <c r="M16" s="6">
        <f t="shared" si="7"/>
        <v>59.796666666665203</v>
      </c>
      <c r="N16" s="6">
        <f t="shared" si="7"/>
        <v>70.320000000001798</v>
      </c>
      <c r="O16" s="6">
        <f t="shared" si="7"/>
        <v>52.094166666665103</v>
      </c>
      <c r="P16" s="6">
        <f t="shared" si="7"/>
        <v>34.493333333333503</v>
      </c>
      <c r="Q16" s="8">
        <f t="shared" si="7"/>
        <v>2.4113888888888999</v>
      </c>
      <c r="R16" s="6">
        <f t="shared" si="7"/>
        <v>1.2466666666666599</v>
      </c>
      <c r="S16" s="7">
        <f t="shared" si="9"/>
        <v>3</v>
      </c>
      <c r="T16">
        <f t="shared" si="4"/>
        <v>3.6666666666666665</v>
      </c>
      <c r="U16">
        <f t="shared" si="10"/>
        <v>6</v>
      </c>
      <c r="V16">
        <f t="shared" si="8"/>
        <v>7</v>
      </c>
      <c r="W16">
        <f t="shared" si="8"/>
        <v>4</v>
      </c>
      <c r="X16">
        <f t="shared" si="11"/>
        <v>2</v>
      </c>
      <c r="Y16">
        <f t="shared" si="11"/>
        <v>1</v>
      </c>
      <c r="Z16">
        <f t="shared" si="11"/>
        <v>2</v>
      </c>
    </row>
    <row r="17" spans="1:26">
      <c r="B17" t="s">
        <v>13</v>
      </c>
      <c r="C17" s="3">
        <v>60.289999999996603</v>
      </c>
      <c r="D17" s="3">
        <v>72.950000000001097</v>
      </c>
      <c r="E17" s="3">
        <v>45.5916666666648</v>
      </c>
      <c r="F17" s="3">
        <v>41.943333333332198</v>
      </c>
      <c r="G17" s="3">
        <v>7.0111111111111502</v>
      </c>
      <c r="H17" s="3">
        <v>1.5233333333333301</v>
      </c>
      <c r="L17" t="s">
        <v>28</v>
      </c>
      <c r="M17" s="6">
        <f t="shared" si="7"/>
        <v>59.936666666664301</v>
      </c>
      <c r="N17" s="6">
        <f t="shared" si="7"/>
        <v>71.453333333334797</v>
      </c>
      <c r="O17" s="6">
        <f t="shared" si="7"/>
        <v>51.387222222219798</v>
      </c>
      <c r="P17" s="6">
        <f t="shared" si="7"/>
        <v>36.253333333334503</v>
      </c>
      <c r="Q17" s="6">
        <f t="shared" si="7"/>
        <v>3.13111111111114</v>
      </c>
      <c r="R17" s="6">
        <f t="shared" si="7"/>
        <v>1.35666666666666</v>
      </c>
      <c r="S17" s="7">
        <f t="shared" si="9"/>
        <v>5</v>
      </c>
      <c r="T17">
        <f t="shared" si="4"/>
        <v>4.166666666666667</v>
      </c>
      <c r="U17">
        <f t="shared" si="10"/>
        <v>5</v>
      </c>
      <c r="V17">
        <f t="shared" si="8"/>
        <v>4</v>
      </c>
      <c r="W17">
        <f t="shared" si="8"/>
        <v>5</v>
      </c>
      <c r="X17">
        <f t="shared" si="11"/>
        <v>6</v>
      </c>
      <c r="Y17">
        <f t="shared" si="11"/>
        <v>2</v>
      </c>
      <c r="Z17">
        <f t="shared" si="11"/>
        <v>3</v>
      </c>
    </row>
    <row r="18" spans="1:26">
      <c r="B18" t="s">
        <v>14</v>
      </c>
      <c r="C18" s="3">
        <v>61.733333333329703</v>
      </c>
      <c r="D18" s="3">
        <v>74.850000000001799</v>
      </c>
      <c r="E18" s="3">
        <v>50.942777777776698</v>
      </c>
      <c r="F18" s="3">
        <v>26.963333333334202</v>
      </c>
      <c r="G18" s="3">
        <v>4.5888888888889898</v>
      </c>
      <c r="H18" s="3">
        <v>1.9266666666666601</v>
      </c>
      <c r="L18" t="s">
        <v>29</v>
      </c>
      <c r="M18" s="6">
        <f t="shared" si="7"/>
        <v>60.289999999996603</v>
      </c>
      <c r="N18" s="6">
        <f t="shared" si="7"/>
        <v>72.950000000001097</v>
      </c>
      <c r="O18" s="6">
        <f t="shared" si="7"/>
        <v>45.5916666666648</v>
      </c>
      <c r="P18" s="6">
        <f t="shared" si="7"/>
        <v>41.943333333332198</v>
      </c>
      <c r="Q18" s="6">
        <f t="shared" si="7"/>
        <v>7.0111111111111502</v>
      </c>
      <c r="R18" s="6">
        <f t="shared" si="7"/>
        <v>1.5233333333333301</v>
      </c>
      <c r="S18" s="7">
        <f t="shared" si="9"/>
        <v>7</v>
      </c>
      <c r="T18">
        <f t="shared" si="4"/>
        <v>5.333333333333333</v>
      </c>
      <c r="U18">
        <f t="shared" si="10"/>
        <v>3</v>
      </c>
      <c r="V18">
        <f t="shared" si="8"/>
        <v>2</v>
      </c>
      <c r="W18">
        <f t="shared" si="8"/>
        <v>7</v>
      </c>
      <c r="X18">
        <f t="shared" si="11"/>
        <v>7</v>
      </c>
      <c r="Y18">
        <f t="shared" si="11"/>
        <v>7</v>
      </c>
      <c r="Z18">
        <f t="shared" si="11"/>
        <v>6</v>
      </c>
    </row>
    <row r="19" spans="1:26">
      <c r="A19" t="s">
        <v>18</v>
      </c>
      <c r="C19" s="3">
        <v>818.54333333330067</v>
      </c>
      <c r="D19" s="3">
        <v>978.37333333335118</v>
      </c>
      <c r="E19" s="3">
        <v>683.17055555552975</v>
      </c>
      <c r="F19" s="3">
        <v>464.54333333334364</v>
      </c>
      <c r="G19" s="3">
        <v>63.72055555555621</v>
      </c>
      <c r="H19" s="3">
        <v>26.256666666666494</v>
      </c>
      <c r="L19" t="s">
        <v>30</v>
      </c>
      <c r="M19" s="8">
        <f t="shared" si="7"/>
        <v>61.733333333329703</v>
      </c>
      <c r="N19" s="8">
        <f t="shared" si="7"/>
        <v>74.850000000001799</v>
      </c>
      <c r="O19" s="6">
        <f t="shared" si="7"/>
        <v>50.942777777776698</v>
      </c>
      <c r="P19" s="8">
        <f t="shared" si="7"/>
        <v>26.963333333334202</v>
      </c>
      <c r="Q19" s="6">
        <f t="shared" si="7"/>
        <v>4.5888888888889898</v>
      </c>
      <c r="R19" s="6">
        <f t="shared" si="7"/>
        <v>1.9266666666666601</v>
      </c>
      <c r="S19" s="7">
        <f t="shared" si="9"/>
        <v>2</v>
      </c>
      <c r="T19">
        <f t="shared" si="4"/>
        <v>3.5</v>
      </c>
      <c r="U19">
        <f t="shared" si="10"/>
        <v>1</v>
      </c>
      <c r="V19">
        <f t="shared" si="8"/>
        <v>1</v>
      </c>
      <c r="W19">
        <f t="shared" si="8"/>
        <v>6</v>
      </c>
      <c r="X19">
        <f t="shared" si="11"/>
        <v>1</v>
      </c>
      <c r="Y19">
        <f t="shared" si="11"/>
        <v>5</v>
      </c>
      <c r="Z19">
        <f t="shared" si="11"/>
        <v>7</v>
      </c>
    </row>
    <row r="20" spans="1:26">
      <c r="M20" s="5"/>
      <c r="N20" s="5"/>
      <c r="O20" s="5"/>
      <c r="P20" s="5"/>
      <c r="Q20" s="5"/>
      <c r="R20" s="5"/>
      <c r="S20" s="7"/>
    </row>
  </sheetData>
  <pageMargins left="0.7" right="0.7" top="0.75" bottom="0.75" header="0.3" footer="0.3"/>
  <pageSetup paperSize="9" orientation="portrait" horizontalDpi="300" verticalDpi="30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20"/>
  <sheetViews>
    <sheetView workbookViewId="0">
      <selection activeCell="A12" sqref="A12"/>
    </sheetView>
  </sheetViews>
  <sheetFormatPr defaultRowHeight="14.75"/>
  <cols>
    <col min="1" max="1" width="10.58984375" bestFit="1" customWidth="1"/>
    <col min="2" max="2" width="8.40625" bestFit="1" customWidth="1"/>
    <col min="3" max="4" width="12.04296875" bestFit="1" customWidth="1"/>
    <col min="5" max="5" width="12.31640625" bestFit="1" customWidth="1"/>
    <col min="6" max="6" width="13.04296875" bestFit="1" customWidth="1"/>
    <col min="7" max="7" width="14.81640625" bestFit="1" customWidth="1"/>
    <col min="8" max="8" width="11.90625" bestFit="1" customWidth="1"/>
    <col min="9" max="10" width="5.6796875" bestFit="1" customWidth="1"/>
    <col min="11" max="11" width="7.26953125" bestFit="1" customWidth="1"/>
    <col min="12" max="12" width="7.54296875" bestFit="1" customWidth="1"/>
    <col min="13" max="14" width="12.04296875" bestFit="1" customWidth="1"/>
    <col min="15" max="15" width="12.31640625" bestFit="1" customWidth="1"/>
    <col min="16" max="16" width="13.04296875" bestFit="1" customWidth="1"/>
    <col min="17" max="17" width="14.81640625" bestFit="1" customWidth="1"/>
    <col min="18" max="18" width="14.81640625" customWidth="1"/>
    <col min="19" max="19" width="10.58984375" bestFit="1" customWidth="1"/>
    <col min="20" max="20" width="10.58984375" customWidth="1"/>
  </cols>
  <sheetData>
    <row r="1" spans="1:26">
      <c r="A1" s="1" t="s">
        <v>2</v>
      </c>
      <c r="B1" s="2">
        <v>1</v>
      </c>
    </row>
    <row r="2" spans="1:26">
      <c r="A2" s="1" t="s">
        <v>1</v>
      </c>
      <c r="B2" s="2">
        <v>1</v>
      </c>
    </row>
    <row r="4" spans="1:26">
      <c r="A4" s="1" t="s">
        <v>0</v>
      </c>
      <c r="B4" s="1" t="s">
        <v>10</v>
      </c>
      <c r="C4" t="s">
        <v>19</v>
      </c>
      <c r="D4" t="s">
        <v>20</v>
      </c>
      <c r="E4" t="s">
        <v>21</v>
      </c>
      <c r="F4" t="s">
        <v>22</v>
      </c>
      <c r="G4" t="s">
        <v>23</v>
      </c>
      <c r="H4" t="s">
        <v>38</v>
      </c>
      <c r="K4" t="s">
        <v>31</v>
      </c>
      <c r="L4" t="s">
        <v>32</v>
      </c>
      <c r="M4" t="s">
        <v>33</v>
      </c>
      <c r="N4" t="s">
        <v>34</v>
      </c>
      <c r="O4" t="s">
        <v>35</v>
      </c>
      <c r="P4" t="s">
        <v>36</v>
      </c>
      <c r="Q4" t="s">
        <v>39</v>
      </c>
      <c r="R4" t="s">
        <v>40</v>
      </c>
      <c r="S4" t="s">
        <v>41</v>
      </c>
    </row>
    <row r="5" spans="1:26">
      <c r="A5">
        <v>6</v>
      </c>
      <c r="B5" t="s">
        <v>11</v>
      </c>
      <c r="C5" s="3">
        <v>57.846666666666501</v>
      </c>
      <c r="D5" s="3">
        <v>67.176666666667202</v>
      </c>
      <c r="E5" s="3">
        <v>49.076111111109199</v>
      </c>
      <c r="F5" s="3">
        <v>28.5766666666673</v>
      </c>
      <c r="G5" s="3">
        <v>4.7477777777778103</v>
      </c>
      <c r="H5" s="3">
        <v>1.01</v>
      </c>
      <c r="J5">
        <f>IF(_xlfn.RANK.AVG(M5,$M$5:$M$12)=1,1,"")</f>
        <v>1</v>
      </c>
      <c r="K5" s="7">
        <v>36</v>
      </c>
      <c r="L5" t="s">
        <v>24</v>
      </c>
      <c r="M5" s="6">
        <f t="shared" ref="M5:R11" si="0">C5</f>
        <v>57.846666666666501</v>
      </c>
      <c r="N5" s="6">
        <f t="shared" si="0"/>
        <v>67.176666666667202</v>
      </c>
      <c r="O5" s="6">
        <f t="shared" si="0"/>
        <v>49.076111111109199</v>
      </c>
      <c r="P5" s="6">
        <f t="shared" si="0"/>
        <v>28.5766666666673</v>
      </c>
      <c r="Q5" s="6">
        <f t="shared" si="0"/>
        <v>4.7477777777778103</v>
      </c>
      <c r="R5" s="6">
        <f t="shared" si="0"/>
        <v>1.01</v>
      </c>
      <c r="S5" s="7">
        <f>_xlfn.RANK.EQ(T5,$T$5:$T$11,1)</f>
        <v>2</v>
      </c>
      <c r="T5">
        <f>AVERAGE(U5:Z5)</f>
        <v>2.6666666666666665</v>
      </c>
      <c r="U5">
        <f>(_xlfn.RANK.AVG(M5,M$5:M$11))</f>
        <v>1</v>
      </c>
      <c r="V5">
        <f t="shared" ref="V5:W11" si="1">(_xlfn.RANK.AVG(N5,N$5:N$11))</f>
        <v>2</v>
      </c>
      <c r="W5">
        <f t="shared" si="1"/>
        <v>2</v>
      </c>
      <c r="X5">
        <f>(_xlfn.RANK.AVG(P5,P$5:P$11,1))</f>
        <v>2</v>
      </c>
      <c r="Y5">
        <f>(_xlfn.RANK.AVG(Q5,Q$5:Q$11,1))</f>
        <v>4</v>
      </c>
      <c r="Z5">
        <f>(_xlfn.RANK.AVG(R5,R$5:R$11,1))</f>
        <v>5</v>
      </c>
    </row>
    <row r="6" spans="1:26">
      <c r="B6" t="s">
        <v>12</v>
      </c>
      <c r="C6" s="3">
        <v>57.636666666666699</v>
      </c>
      <c r="D6" s="3">
        <v>66.853333333333893</v>
      </c>
      <c r="E6" s="3">
        <v>49.747222222220302</v>
      </c>
      <c r="F6" s="3">
        <v>30.5433333333348</v>
      </c>
      <c r="G6" s="3">
        <v>4.5427777777777996</v>
      </c>
      <c r="H6" s="3">
        <v>0.9</v>
      </c>
      <c r="J6" t="str">
        <f t="shared" ref="J6" si="2">IF(_xlfn.RANK.AVG(M6,$M$5:$M$12)=1,1,"")</f>
        <v/>
      </c>
      <c r="K6" s="4"/>
      <c r="L6" t="s">
        <v>25</v>
      </c>
      <c r="M6" s="6">
        <f t="shared" si="0"/>
        <v>57.636666666666699</v>
      </c>
      <c r="N6" s="6">
        <f t="shared" si="0"/>
        <v>66.853333333333893</v>
      </c>
      <c r="O6" s="8">
        <f t="shared" si="0"/>
        <v>49.747222222220302</v>
      </c>
      <c r="P6" s="6">
        <f t="shared" si="0"/>
        <v>30.5433333333348</v>
      </c>
      <c r="Q6" s="6">
        <f t="shared" si="0"/>
        <v>4.5427777777777996</v>
      </c>
      <c r="R6" s="6">
        <f t="shared" si="0"/>
        <v>0.9</v>
      </c>
      <c r="S6" s="7">
        <f t="shared" ref="S6:S11" si="3">_xlfn.RANK.EQ(T6,$T$5:$T$11,1)</f>
        <v>1</v>
      </c>
      <c r="T6">
        <f t="shared" ref="T6:T19" si="4">AVERAGE(U6:Z6)</f>
        <v>2.5</v>
      </c>
      <c r="U6">
        <f t="shared" ref="U6:U11" si="5">(_xlfn.RANK.AVG(M6,M$5:M$11))</f>
        <v>2</v>
      </c>
      <c r="V6">
        <f t="shared" si="1"/>
        <v>3</v>
      </c>
      <c r="W6">
        <f t="shared" si="1"/>
        <v>1</v>
      </c>
      <c r="X6">
        <f t="shared" ref="X6:X11" si="6">(_xlfn.RANK.AVG(P6,P$5:P$11,1))</f>
        <v>3</v>
      </c>
      <c r="Y6">
        <f t="shared" ref="Y6:Y11" si="7">(_xlfn.RANK.AVG(Q6,Q$5:Q$11,1))</f>
        <v>3</v>
      </c>
      <c r="Z6">
        <f t="shared" ref="Z6:Z11" si="8">(_xlfn.RANK.AVG(R6,R$5:R$11,1))</f>
        <v>3</v>
      </c>
    </row>
    <row r="7" spans="1:26">
      <c r="B7" t="s">
        <v>15</v>
      </c>
      <c r="C7" s="3">
        <v>57.299999999999599</v>
      </c>
      <c r="D7" s="3">
        <v>66.760000000000204</v>
      </c>
      <c r="E7" s="3">
        <v>48.847777777775804</v>
      </c>
      <c r="F7" s="3">
        <v>32.1733333333353</v>
      </c>
      <c r="G7" s="3">
        <v>5.3972222222222701</v>
      </c>
      <c r="H7" s="3">
        <v>0.99333333333333396</v>
      </c>
      <c r="K7" s="4"/>
      <c r="L7" t="s">
        <v>26</v>
      </c>
      <c r="M7" s="6">
        <f t="shared" si="0"/>
        <v>57.299999999999599</v>
      </c>
      <c r="N7" s="6">
        <f t="shared" si="0"/>
        <v>66.760000000000204</v>
      </c>
      <c r="O7" s="6">
        <f t="shared" si="0"/>
        <v>48.847777777775804</v>
      </c>
      <c r="P7" s="6">
        <f t="shared" si="0"/>
        <v>32.1733333333353</v>
      </c>
      <c r="Q7" s="6">
        <f t="shared" si="0"/>
        <v>5.3972222222222701</v>
      </c>
      <c r="R7" s="6">
        <f t="shared" si="0"/>
        <v>0.99333333333333396</v>
      </c>
      <c r="S7" s="7">
        <f t="shared" si="3"/>
        <v>5</v>
      </c>
      <c r="T7">
        <f t="shared" si="4"/>
        <v>4.166666666666667</v>
      </c>
      <c r="U7">
        <f t="shared" si="5"/>
        <v>3</v>
      </c>
      <c r="V7">
        <f t="shared" si="1"/>
        <v>4</v>
      </c>
      <c r="W7">
        <f t="shared" si="1"/>
        <v>3</v>
      </c>
      <c r="X7">
        <f t="shared" si="6"/>
        <v>5</v>
      </c>
      <c r="Y7">
        <f t="shared" si="7"/>
        <v>6</v>
      </c>
      <c r="Z7">
        <f t="shared" si="8"/>
        <v>4</v>
      </c>
    </row>
    <row r="8" spans="1:26">
      <c r="B8" t="s">
        <v>17</v>
      </c>
      <c r="C8" s="3">
        <v>56.396666666667102</v>
      </c>
      <c r="D8" s="3">
        <v>65.543333333334203</v>
      </c>
      <c r="E8" s="3">
        <v>48.0005555555542</v>
      </c>
      <c r="F8" s="3">
        <v>31.343333333333099</v>
      </c>
      <c r="G8" s="3">
        <v>3.0105555555555501</v>
      </c>
      <c r="H8" s="3">
        <v>0.89333333333333398</v>
      </c>
      <c r="K8" s="4"/>
      <c r="L8" t="s">
        <v>27</v>
      </c>
      <c r="M8" s="6">
        <f t="shared" si="0"/>
        <v>56.396666666667102</v>
      </c>
      <c r="N8" s="6">
        <f t="shared" si="0"/>
        <v>65.543333333334203</v>
      </c>
      <c r="O8" s="6">
        <f t="shared" si="0"/>
        <v>48.0005555555542</v>
      </c>
      <c r="P8" s="6">
        <f t="shared" si="0"/>
        <v>31.343333333333099</v>
      </c>
      <c r="Q8" s="8">
        <f t="shared" si="0"/>
        <v>3.0105555555555501</v>
      </c>
      <c r="R8" s="6">
        <f t="shared" si="0"/>
        <v>0.89333333333333398</v>
      </c>
      <c r="S8" s="7">
        <f t="shared" si="3"/>
        <v>3</v>
      </c>
      <c r="T8">
        <f t="shared" si="4"/>
        <v>3.6666666666666665</v>
      </c>
      <c r="U8">
        <f t="shared" si="5"/>
        <v>5</v>
      </c>
      <c r="V8">
        <f t="shared" si="1"/>
        <v>6</v>
      </c>
      <c r="W8">
        <f t="shared" si="1"/>
        <v>4</v>
      </c>
      <c r="X8">
        <f t="shared" si="6"/>
        <v>4</v>
      </c>
      <c r="Y8">
        <f t="shared" si="7"/>
        <v>1</v>
      </c>
      <c r="Z8">
        <f t="shared" si="8"/>
        <v>2</v>
      </c>
    </row>
    <row r="9" spans="1:26">
      <c r="B9" t="s">
        <v>16</v>
      </c>
      <c r="C9" s="3">
        <v>56.040000000000198</v>
      </c>
      <c r="D9" s="3">
        <v>65.300000000000793</v>
      </c>
      <c r="E9" s="3">
        <v>47.388333333331403</v>
      </c>
      <c r="F9" s="3">
        <v>33.626666666667397</v>
      </c>
      <c r="G9" s="3">
        <v>3.5116666666666498</v>
      </c>
      <c r="H9" s="3">
        <v>0.82333333333333303</v>
      </c>
      <c r="K9" s="4"/>
      <c r="L9" t="s">
        <v>28</v>
      </c>
      <c r="M9" s="6">
        <f t="shared" si="0"/>
        <v>56.040000000000198</v>
      </c>
      <c r="N9" s="6">
        <f t="shared" si="0"/>
        <v>65.300000000000793</v>
      </c>
      <c r="O9" s="6">
        <f t="shared" si="0"/>
        <v>47.388333333331403</v>
      </c>
      <c r="P9" s="6">
        <f t="shared" si="0"/>
        <v>33.626666666667397</v>
      </c>
      <c r="Q9" s="6">
        <f t="shared" si="0"/>
        <v>3.5116666666666498</v>
      </c>
      <c r="R9" s="8">
        <f t="shared" si="0"/>
        <v>0.82333333333333303</v>
      </c>
      <c r="S9" s="7">
        <f t="shared" si="3"/>
        <v>6</v>
      </c>
      <c r="T9">
        <f t="shared" si="4"/>
        <v>4.5</v>
      </c>
      <c r="U9">
        <f t="shared" si="5"/>
        <v>6</v>
      </c>
      <c r="V9">
        <f t="shared" si="1"/>
        <v>7</v>
      </c>
      <c r="W9">
        <f t="shared" si="1"/>
        <v>5</v>
      </c>
      <c r="X9">
        <f t="shared" si="6"/>
        <v>6</v>
      </c>
      <c r="Y9">
        <f t="shared" si="7"/>
        <v>2</v>
      </c>
      <c r="Z9">
        <f t="shared" si="8"/>
        <v>1</v>
      </c>
    </row>
    <row r="10" spans="1:26">
      <c r="B10" t="s">
        <v>13</v>
      </c>
      <c r="C10" s="3">
        <v>55.886666666665597</v>
      </c>
      <c r="D10" s="3">
        <v>65.893333333333601</v>
      </c>
      <c r="E10" s="3">
        <v>40.0822222222207</v>
      </c>
      <c r="F10" s="3">
        <v>35.680000000001201</v>
      </c>
      <c r="G10" s="3">
        <v>7.4994444444445598</v>
      </c>
      <c r="H10" s="3">
        <v>1.14333333333333</v>
      </c>
      <c r="K10" s="4"/>
      <c r="L10" t="s">
        <v>29</v>
      </c>
      <c r="M10" s="6">
        <f t="shared" si="0"/>
        <v>55.886666666665597</v>
      </c>
      <c r="N10" s="6">
        <f t="shared" si="0"/>
        <v>65.893333333333601</v>
      </c>
      <c r="O10" s="6">
        <f t="shared" si="0"/>
        <v>40.0822222222207</v>
      </c>
      <c r="P10" s="6">
        <f t="shared" si="0"/>
        <v>35.680000000001201</v>
      </c>
      <c r="Q10" s="6">
        <f t="shared" si="0"/>
        <v>7.4994444444445598</v>
      </c>
      <c r="R10" s="6">
        <f t="shared" si="0"/>
        <v>1.14333333333333</v>
      </c>
      <c r="S10" s="7">
        <f t="shared" si="3"/>
        <v>7</v>
      </c>
      <c r="T10">
        <f t="shared" si="4"/>
        <v>6.5</v>
      </c>
      <c r="U10">
        <f t="shared" si="5"/>
        <v>7</v>
      </c>
      <c r="V10">
        <f t="shared" si="1"/>
        <v>5</v>
      </c>
      <c r="W10">
        <f t="shared" si="1"/>
        <v>7</v>
      </c>
      <c r="X10">
        <f t="shared" si="6"/>
        <v>7</v>
      </c>
      <c r="Y10">
        <f t="shared" si="7"/>
        <v>7</v>
      </c>
      <c r="Z10">
        <f t="shared" si="8"/>
        <v>6</v>
      </c>
    </row>
    <row r="11" spans="1:26">
      <c r="B11" t="s">
        <v>14</v>
      </c>
      <c r="C11" s="3">
        <v>57.1966666666655</v>
      </c>
      <c r="D11" s="3">
        <v>67.203333333333504</v>
      </c>
      <c r="E11" s="3">
        <v>46.389444444443498</v>
      </c>
      <c r="F11" s="3">
        <v>25.360000000000099</v>
      </c>
      <c r="G11" s="3">
        <v>5.2700000000001204</v>
      </c>
      <c r="H11" s="3">
        <v>1.2733333333333301</v>
      </c>
      <c r="L11" t="s">
        <v>30</v>
      </c>
      <c r="M11" s="8">
        <f t="shared" si="0"/>
        <v>57.1966666666655</v>
      </c>
      <c r="N11" s="8">
        <f t="shared" si="0"/>
        <v>67.203333333333504</v>
      </c>
      <c r="O11" s="6">
        <f t="shared" si="0"/>
        <v>46.389444444443498</v>
      </c>
      <c r="P11" s="8">
        <f t="shared" si="0"/>
        <v>25.360000000000099</v>
      </c>
      <c r="Q11" s="6">
        <f t="shared" si="0"/>
        <v>5.2700000000001204</v>
      </c>
      <c r="R11" s="6">
        <f t="shared" si="0"/>
        <v>1.2733333333333301</v>
      </c>
      <c r="S11" s="7">
        <f t="shared" si="3"/>
        <v>4</v>
      </c>
      <c r="T11">
        <f t="shared" si="4"/>
        <v>4</v>
      </c>
      <c r="U11">
        <f t="shared" si="5"/>
        <v>4</v>
      </c>
      <c r="V11">
        <f t="shared" si="1"/>
        <v>1</v>
      </c>
      <c r="W11">
        <f t="shared" si="1"/>
        <v>6</v>
      </c>
      <c r="X11">
        <f t="shared" si="6"/>
        <v>1</v>
      </c>
      <c r="Y11">
        <f t="shared" si="7"/>
        <v>5</v>
      </c>
      <c r="Z11">
        <f t="shared" si="8"/>
        <v>7</v>
      </c>
    </row>
    <row r="12" spans="1:26">
      <c r="A12">
        <v>12</v>
      </c>
      <c r="B12" t="s">
        <v>11</v>
      </c>
      <c r="C12" s="3">
        <v>62.163333333332901</v>
      </c>
      <c r="D12" s="3">
        <v>71.880000000001402</v>
      </c>
      <c r="E12" s="3">
        <v>54.6141666666649</v>
      </c>
      <c r="F12" s="3">
        <v>30.390000000000502</v>
      </c>
      <c r="G12" s="3">
        <v>3.3263888888889399</v>
      </c>
      <c r="H12" s="3">
        <v>0.56333333333333402</v>
      </c>
      <c r="M12" s="5"/>
      <c r="N12" s="5"/>
      <c r="O12" s="5"/>
      <c r="P12" s="5"/>
      <c r="Q12" s="5"/>
      <c r="R12" s="5"/>
      <c r="S12" s="7"/>
    </row>
    <row r="13" spans="1:26">
      <c r="B13" t="s">
        <v>12</v>
      </c>
      <c r="C13" s="3">
        <v>60.539999999999402</v>
      </c>
      <c r="D13" s="3">
        <v>70.133333333334207</v>
      </c>
      <c r="E13" s="3">
        <v>54.683333333330701</v>
      </c>
      <c r="F13" s="3">
        <v>32.660000000001801</v>
      </c>
      <c r="G13" s="3">
        <v>3.58694444444449</v>
      </c>
      <c r="H13" s="3">
        <v>0.46333333333333399</v>
      </c>
      <c r="K13">
        <v>54</v>
      </c>
      <c r="L13" t="s">
        <v>24</v>
      </c>
      <c r="M13" s="6">
        <f t="shared" ref="M13:R19" si="9">C12</f>
        <v>62.163333333332901</v>
      </c>
      <c r="N13" s="6">
        <f t="shared" si="9"/>
        <v>71.880000000001402</v>
      </c>
      <c r="O13" s="8">
        <f t="shared" si="9"/>
        <v>54.6141666666649</v>
      </c>
      <c r="P13" s="6">
        <f t="shared" si="9"/>
        <v>30.390000000000502</v>
      </c>
      <c r="Q13" s="6">
        <f t="shared" si="9"/>
        <v>3.3263888888889399</v>
      </c>
      <c r="R13" s="6">
        <f t="shared" si="9"/>
        <v>0.56333333333333402</v>
      </c>
      <c r="S13" s="7">
        <f>_xlfn.RANK.AVG(T13,$T$13:$T$19,1)</f>
        <v>1.5</v>
      </c>
      <c r="T13">
        <f>AVERAGE(U13:Z13)</f>
        <v>2.8333333333333335</v>
      </c>
      <c r="U13">
        <f>(_xlfn.RANK.AVG(M13,M$13:M$19))</f>
        <v>2</v>
      </c>
      <c r="V13">
        <f t="shared" ref="V13:W19" si="10">(_xlfn.RANK.AVG(N13,N$13:N$19))</f>
        <v>2</v>
      </c>
      <c r="W13">
        <f t="shared" si="10"/>
        <v>2</v>
      </c>
      <c r="X13">
        <f>(_xlfn.RANK.AVG(P13,P$13:P$19,1))</f>
        <v>2</v>
      </c>
      <c r="Y13">
        <f>(_xlfn.RANK.AVG(Q13,Q$13:Q$19,1))</f>
        <v>3</v>
      </c>
      <c r="Z13">
        <f>(_xlfn.RANK.AVG(R13,R$13:R$19,1))</f>
        <v>6</v>
      </c>
    </row>
    <row r="14" spans="1:26">
      <c r="B14" t="s">
        <v>15</v>
      </c>
      <c r="C14" s="3">
        <v>61.136666666666002</v>
      </c>
      <c r="D14" s="3">
        <v>70.473333333334196</v>
      </c>
      <c r="E14" s="3">
        <v>53.748611111108701</v>
      </c>
      <c r="F14" s="3">
        <v>33.2666666666683</v>
      </c>
      <c r="G14" s="3">
        <v>4.51750000000004</v>
      </c>
      <c r="H14" s="3">
        <v>0.48</v>
      </c>
      <c r="L14" t="s">
        <v>25</v>
      </c>
      <c r="M14" s="5">
        <f t="shared" si="9"/>
        <v>60.539999999999402</v>
      </c>
      <c r="N14" s="6">
        <f t="shared" si="9"/>
        <v>70.133333333334207</v>
      </c>
      <c r="O14" s="6">
        <f t="shared" si="9"/>
        <v>54.683333333330701</v>
      </c>
      <c r="P14" s="6">
        <f t="shared" si="9"/>
        <v>32.660000000001801</v>
      </c>
      <c r="Q14" s="6">
        <f t="shared" si="9"/>
        <v>3.58694444444449</v>
      </c>
      <c r="R14" s="6">
        <f t="shared" si="9"/>
        <v>0.46333333333333399</v>
      </c>
      <c r="S14" s="7">
        <f t="shared" ref="S14:S19" si="11">_xlfn.RANK.AVG(T14,$T$13:$T$19,1)</f>
        <v>4</v>
      </c>
      <c r="T14">
        <f>AVERAGE(U14:Z14)</f>
        <v>3.8333333333333335</v>
      </c>
      <c r="U14">
        <f t="shared" ref="U14:U19" si="12">(_xlfn.RANK.AVG(M14,M$13:M$19))</f>
        <v>6</v>
      </c>
      <c r="V14">
        <f t="shared" si="10"/>
        <v>5</v>
      </c>
      <c r="W14">
        <f t="shared" si="10"/>
        <v>1</v>
      </c>
      <c r="X14">
        <f t="shared" ref="X14:X19" si="13">(_xlfn.RANK.AVG(P14,P$13:P$19,1))</f>
        <v>4</v>
      </c>
      <c r="Y14">
        <f t="shared" ref="Y14:Y19" si="14">(_xlfn.RANK.AVG(Q14,Q$13:Q$19,1))</f>
        <v>4</v>
      </c>
      <c r="Z14">
        <f t="shared" ref="Z14:Z19" si="15">(_xlfn.RANK.AVG(R14,R$13:R$19,1))</f>
        <v>3</v>
      </c>
    </row>
    <row r="15" spans="1:26">
      <c r="B15" t="s">
        <v>17</v>
      </c>
      <c r="C15" s="3">
        <v>61.106666666666698</v>
      </c>
      <c r="D15" s="3">
        <v>70.173333333334796</v>
      </c>
      <c r="E15" s="3">
        <v>53.795277777776199</v>
      </c>
      <c r="F15" s="3">
        <v>32.320000000000398</v>
      </c>
      <c r="G15" s="3">
        <v>2.3966666666666701</v>
      </c>
      <c r="H15" s="3">
        <v>0.44666666666666699</v>
      </c>
      <c r="L15" t="s">
        <v>26</v>
      </c>
      <c r="M15" s="5">
        <f t="shared" si="9"/>
        <v>61.136666666666002</v>
      </c>
      <c r="N15" s="6">
        <f t="shared" si="9"/>
        <v>70.473333333334196</v>
      </c>
      <c r="O15" s="6">
        <f t="shared" si="9"/>
        <v>53.748611111108701</v>
      </c>
      <c r="P15" s="6">
        <f t="shared" si="9"/>
        <v>33.2666666666683</v>
      </c>
      <c r="Q15" s="6">
        <f t="shared" si="9"/>
        <v>4.51750000000004</v>
      </c>
      <c r="R15" s="6">
        <f t="shared" si="9"/>
        <v>0.48</v>
      </c>
      <c r="S15" s="7">
        <f>_xlfn.RANK.AVG(T15,$T$13:$T$19,1)</f>
        <v>5</v>
      </c>
      <c r="T15">
        <f t="shared" si="4"/>
        <v>4.166666666666667</v>
      </c>
      <c r="U15">
        <f t="shared" si="12"/>
        <v>3</v>
      </c>
      <c r="V15">
        <f t="shared" si="10"/>
        <v>3</v>
      </c>
      <c r="W15">
        <f t="shared" si="10"/>
        <v>4</v>
      </c>
      <c r="X15">
        <f t="shared" si="13"/>
        <v>5</v>
      </c>
      <c r="Y15">
        <f t="shared" si="14"/>
        <v>6</v>
      </c>
      <c r="Z15">
        <f t="shared" si="15"/>
        <v>4</v>
      </c>
    </row>
    <row r="16" spans="1:26">
      <c r="B16" t="s">
        <v>16</v>
      </c>
      <c r="C16" s="3">
        <v>60.586666666666403</v>
      </c>
      <c r="D16" s="3">
        <v>69.7633333333346</v>
      </c>
      <c r="E16" s="3">
        <v>52.475277777775403</v>
      </c>
      <c r="F16" s="3">
        <v>35.073333333334801</v>
      </c>
      <c r="G16" s="3">
        <v>3.1261111111111299</v>
      </c>
      <c r="H16" s="3">
        <v>0.44333333333333402</v>
      </c>
      <c r="L16" t="s">
        <v>27</v>
      </c>
      <c r="M16" s="5">
        <f t="shared" si="9"/>
        <v>61.106666666666698</v>
      </c>
      <c r="N16" s="6">
        <f t="shared" si="9"/>
        <v>70.173333333334796</v>
      </c>
      <c r="O16" s="6">
        <f t="shared" si="9"/>
        <v>53.795277777776199</v>
      </c>
      <c r="P16" s="6">
        <f t="shared" si="9"/>
        <v>32.320000000000398</v>
      </c>
      <c r="Q16" s="8">
        <f t="shared" si="9"/>
        <v>2.3966666666666701</v>
      </c>
      <c r="R16" s="8">
        <f t="shared" si="9"/>
        <v>0.44666666666666699</v>
      </c>
      <c r="S16" s="7">
        <f>_xlfn.RANK.AVG(T16,$T$13:$T$19,1)</f>
        <v>1.5</v>
      </c>
      <c r="T16">
        <f t="shared" si="4"/>
        <v>2.8333333333333335</v>
      </c>
      <c r="U16">
        <f t="shared" si="12"/>
        <v>4</v>
      </c>
      <c r="V16">
        <f t="shared" si="10"/>
        <v>4</v>
      </c>
      <c r="W16">
        <f t="shared" si="10"/>
        <v>3</v>
      </c>
      <c r="X16">
        <f t="shared" si="13"/>
        <v>3</v>
      </c>
      <c r="Y16">
        <f t="shared" si="14"/>
        <v>1</v>
      </c>
      <c r="Z16">
        <f t="shared" si="15"/>
        <v>2</v>
      </c>
    </row>
    <row r="17" spans="1:26">
      <c r="B17" t="s">
        <v>13</v>
      </c>
      <c r="C17" s="3">
        <v>59.883333333332097</v>
      </c>
      <c r="D17" s="3">
        <v>69.863333333333998</v>
      </c>
      <c r="E17" s="3">
        <v>44.898333333331401</v>
      </c>
      <c r="F17" s="3">
        <v>43.059999999998603</v>
      </c>
      <c r="G17" s="3">
        <v>7.09388888888894</v>
      </c>
      <c r="H17" s="3">
        <v>0.51</v>
      </c>
      <c r="L17" t="s">
        <v>28</v>
      </c>
      <c r="M17" s="5">
        <f t="shared" si="9"/>
        <v>60.586666666666403</v>
      </c>
      <c r="N17" s="6">
        <f t="shared" si="9"/>
        <v>69.7633333333346</v>
      </c>
      <c r="O17" s="6">
        <f t="shared" si="9"/>
        <v>52.475277777775403</v>
      </c>
      <c r="P17" s="6">
        <f t="shared" si="9"/>
        <v>35.073333333334801</v>
      </c>
      <c r="Q17" s="6">
        <f t="shared" si="9"/>
        <v>3.1261111111111299</v>
      </c>
      <c r="R17" s="6">
        <f t="shared" si="9"/>
        <v>0.44333333333333402</v>
      </c>
      <c r="S17" s="7">
        <f>_xlfn.RANK.AVG(T17,$T$13:$T$19,1)</f>
        <v>6</v>
      </c>
      <c r="T17">
        <f t="shared" si="4"/>
        <v>4.333333333333333</v>
      </c>
      <c r="U17">
        <f t="shared" si="12"/>
        <v>5</v>
      </c>
      <c r="V17">
        <f t="shared" si="10"/>
        <v>7</v>
      </c>
      <c r="W17">
        <f t="shared" si="10"/>
        <v>5</v>
      </c>
      <c r="X17">
        <f t="shared" si="13"/>
        <v>6</v>
      </c>
      <c r="Y17">
        <f t="shared" si="14"/>
        <v>2</v>
      </c>
      <c r="Z17">
        <f t="shared" si="15"/>
        <v>1</v>
      </c>
    </row>
    <row r="18" spans="1:26">
      <c r="B18" t="s">
        <v>14</v>
      </c>
      <c r="C18" s="3">
        <v>62.463333333332201</v>
      </c>
      <c r="D18" s="3">
        <v>72.550000000001106</v>
      </c>
      <c r="E18" s="3">
        <v>52.2558333333318</v>
      </c>
      <c r="F18" s="3">
        <v>27.243333333333599</v>
      </c>
      <c r="G18" s="3">
        <v>3.6833333333334499</v>
      </c>
      <c r="H18" s="3">
        <v>0.73</v>
      </c>
      <c r="L18" t="s">
        <v>29</v>
      </c>
      <c r="M18" s="5">
        <f t="shared" si="9"/>
        <v>59.883333333332097</v>
      </c>
      <c r="N18" s="6">
        <f t="shared" si="9"/>
        <v>69.863333333333998</v>
      </c>
      <c r="O18" s="6">
        <f t="shared" si="9"/>
        <v>44.898333333331401</v>
      </c>
      <c r="P18" s="6">
        <f t="shared" si="9"/>
        <v>43.059999999998603</v>
      </c>
      <c r="Q18" s="6">
        <f t="shared" si="9"/>
        <v>7.09388888888894</v>
      </c>
      <c r="R18" s="6">
        <f t="shared" si="9"/>
        <v>0.51</v>
      </c>
      <c r="S18" s="7">
        <f t="shared" si="11"/>
        <v>7</v>
      </c>
      <c r="T18">
        <f t="shared" si="4"/>
        <v>6.5</v>
      </c>
      <c r="U18">
        <f t="shared" si="12"/>
        <v>7</v>
      </c>
      <c r="V18">
        <f t="shared" si="10"/>
        <v>6</v>
      </c>
      <c r="W18">
        <f t="shared" si="10"/>
        <v>7</v>
      </c>
      <c r="X18">
        <f t="shared" si="13"/>
        <v>7</v>
      </c>
      <c r="Y18">
        <f t="shared" si="14"/>
        <v>7</v>
      </c>
      <c r="Z18">
        <f t="shared" si="15"/>
        <v>5</v>
      </c>
    </row>
    <row r="19" spans="1:26">
      <c r="A19" t="s">
        <v>18</v>
      </c>
      <c r="C19" s="3">
        <v>826.1833333333268</v>
      </c>
      <c r="D19" s="3">
        <v>959.56666666667763</v>
      </c>
      <c r="E19" s="3">
        <v>696.00249999997425</v>
      </c>
      <c r="F19" s="3">
        <v>451.31666666667718</v>
      </c>
      <c r="G19" s="3">
        <v>61.710277777778423</v>
      </c>
      <c r="H19" s="3">
        <v>10.67333333333333</v>
      </c>
      <c r="L19" t="s">
        <v>30</v>
      </c>
      <c r="M19" s="8">
        <f t="shared" si="9"/>
        <v>62.463333333332201</v>
      </c>
      <c r="N19" s="8">
        <f t="shared" si="9"/>
        <v>72.550000000001106</v>
      </c>
      <c r="O19" s="6">
        <f t="shared" si="9"/>
        <v>52.2558333333318</v>
      </c>
      <c r="P19" s="8">
        <f t="shared" si="9"/>
        <v>27.243333333333599</v>
      </c>
      <c r="Q19" s="6">
        <f t="shared" si="9"/>
        <v>3.6833333333334499</v>
      </c>
      <c r="R19" s="6">
        <f t="shared" si="9"/>
        <v>0.73</v>
      </c>
      <c r="S19" s="7">
        <f t="shared" si="11"/>
        <v>3</v>
      </c>
      <c r="T19">
        <f t="shared" si="4"/>
        <v>3.5</v>
      </c>
      <c r="U19">
        <f t="shared" si="12"/>
        <v>1</v>
      </c>
      <c r="V19">
        <f t="shared" si="10"/>
        <v>1</v>
      </c>
      <c r="W19">
        <f t="shared" si="10"/>
        <v>6</v>
      </c>
      <c r="X19">
        <f t="shared" si="13"/>
        <v>1</v>
      </c>
      <c r="Y19">
        <f t="shared" si="14"/>
        <v>5</v>
      </c>
      <c r="Z19">
        <f t="shared" si="15"/>
        <v>7</v>
      </c>
    </row>
    <row r="20" spans="1:26">
      <c r="M20" s="5"/>
      <c r="N20" s="5"/>
      <c r="O20" s="5"/>
      <c r="P20" s="5"/>
      <c r="Q20" s="5"/>
      <c r="R20" s="5"/>
      <c r="S20" s="7"/>
    </row>
  </sheetData>
  <pageMargins left="0.7" right="0.7" top="0.75" bottom="0.75" header="0.3" footer="0.3"/>
  <pageSetup paperSize="9" orientation="portrait" horizontalDpi="300" verticalDpi="30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29"/>
  <sheetViews>
    <sheetView workbookViewId="0">
      <selection activeCell="A2" sqref="A2:L29"/>
    </sheetView>
  </sheetViews>
  <sheetFormatPr defaultRowHeight="14.75"/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37</v>
      </c>
      <c r="L1" t="s">
        <v>10</v>
      </c>
    </row>
    <row r="2" spans="1:12">
      <c r="A2">
        <v>6</v>
      </c>
      <c r="B2">
        <v>1</v>
      </c>
      <c r="C2">
        <v>1</v>
      </c>
      <c r="D2">
        <v>57.846666666666501</v>
      </c>
      <c r="E2">
        <v>67.176666666667202</v>
      </c>
      <c r="F2">
        <v>49.076111111109199</v>
      </c>
      <c r="G2">
        <v>61.536111111111197</v>
      </c>
      <c r="H2">
        <v>2.0366666666666702</v>
      </c>
      <c r="I2">
        <v>4.7477777777778103</v>
      </c>
      <c r="J2">
        <v>28.5766666666673</v>
      </c>
      <c r="K2">
        <v>1.01</v>
      </c>
      <c r="L2" t="s">
        <v>11</v>
      </c>
    </row>
    <row r="3" spans="1:12">
      <c r="A3">
        <v>12</v>
      </c>
      <c r="B3">
        <v>1</v>
      </c>
      <c r="C3">
        <v>1</v>
      </c>
      <c r="D3">
        <v>62.163333333332901</v>
      </c>
      <c r="E3">
        <v>71.880000000001402</v>
      </c>
      <c r="F3">
        <v>54.6141666666649</v>
      </c>
      <c r="G3">
        <v>66.504999999998901</v>
      </c>
      <c r="H3">
        <v>3.63</v>
      </c>
      <c r="I3">
        <v>3.3263888888889399</v>
      </c>
      <c r="J3">
        <v>30.390000000000502</v>
      </c>
      <c r="K3">
        <v>0.56333333333333402</v>
      </c>
      <c r="L3" t="s">
        <v>11</v>
      </c>
    </row>
    <row r="4" spans="1:12">
      <c r="A4">
        <v>6</v>
      </c>
      <c r="B4">
        <v>2</v>
      </c>
      <c r="C4">
        <v>1</v>
      </c>
      <c r="D4">
        <v>57.166666666664902</v>
      </c>
      <c r="E4">
        <v>67.696666666667895</v>
      </c>
      <c r="F4">
        <v>48.3966666666647</v>
      </c>
      <c r="G4">
        <v>61.185555555557499</v>
      </c>
      <c r="H4">
        <v>1.9266666666666701</v>
      </c>
      <c r="I4">
        <v>4.53833333333335</v>
      </c>
      <c r="J4">
        <v>30.4433333333339</v>
      </c>
      <c r="K4">
        <v>2.0999999999999899</v>
      </c>
      <c r="L4" t="s">
        <v>11</v>
      </c>
    </row>
    <row r="5" spans="1:12">
      <c r="A5">
        <v>12</v>
      </c>
      <c r="B5">
        <v>2</v>
      </c>
      <c r="C5">
        <v>1</v>
      </c>
      <c r="D5">
        <v>60.143333333331398</v>
      </c>
      <c r="E5">
        <v>70.6866666666687</v>
      </c>
      <c r="F5">
        <v>53.174722222219799</v>
      </c>
      <c r="G5">
        <v>65.886666666667097</v>
      </c>
      <c r="H5">
        <v>3.4</v>
      </c>
      <c r="I5">
        <v>3.3491666666667199</v>
      </c>
      <c r="J5">
        <v>34.516666666667398</v>
      </c>
      <c r="K5">
        <v>1.1466666666666601</v>
      </c>
      <c r="L5" t="s">
        <v>11</v>
      </c>
    </row>
    <row r="6" spans="1:12">
      <c r="A6">
        <v>6</v>
      </c>
      <c r="B6">
        <v>1</v>
      </c>
      <c r="C6">
        <v>1</v>
      </c>
      <c r="D6">
        <v>57.636666666666699</v>
      </c>
      <c r="E6">
        <v>66.853333333333893</v>
      </c>
      <c r="F6">
        <v>49.747222222220302</v>
      </c>
      <c r="G6">
        <v>61.699999999999903</v>
      </c>
      <c r="H6">
        <v>1.9466666666666701</v>
      </c>
      <c r="I6">
        <v>4.5427777777777996</v>
      </c>
      <c r="J6">
        <v>30.5433333333348</v>
      </c>
      <c r="K6">
        <v>0.9</v>
      </c>
      <c r="L6" t="s">
        <v>12</v>
      </c>
    </row>
    <row r="7" spans="1:12">
      <c r="A7">
        <v>12</v>
      </c>
      <c r="B7">
        <v>1</v>
      </c>
      <c r="C7">
        <v>1</v>
      </c>
      <c r="D7">
        <v>60.539999999999402</v>
      </c>
      <c r="E7">
        <v>70.133333333334207</v>
      </c>
      <c r="F7">
        <v>54.683333333330701</v>
      </c>
      <c r="G7">
        <v>66.515555555553703</v>
      </c>
      <c r="H7">
        <v>3.82</v>
      </c>
      <c r="I7">
        <v>3.58694444444449</v>
      </c>
      <c r="J7">
        <v>32.660000000001801</v>
      </c>
      <c r="K7">
        <v>0.46333333333333399</v>
      </c>
      <c r="L7" t="s">
        <v>12</v>
      </c>
    </row>
    <row r="8" spans="1:12">
      <c r="A8">
        <v>6</v>
      </c>
      <c r="B8">
        <v>2</v>
      </c>
      <c r="C8">
        <v>1</v>
      </c>
      <c r="D8">
        <v>56.9666666666647</v>
      </c>
      <c r="E8">
        <v>67.726666666667597</v>
      </c>
      <c r="F8">
        <v>48.389999999997798</v>
      </c>
      <c r="G8">
        <v>61.907777777779799</v>
      </c>
      <c r="H8">
        <v>2.06666666666667</v>
      </c>
      <c r="I8">
        <v>4.7577777777778003</v>
      </c>
      <c r="J8">
        <v>32.166666666668</v>
      </c>
      <c r="K8">
        <v>2.0333333333333199</v>
      </c>
      <c r="L8" t="s">
        <v>12</v>
      </c>
    </row>
    <row r="9" spans="1:12">
      <c r="A9">
        <v>12</v>
      </c>
      <c r="B9">
        <v>2</v>
      </c>
      <c r="C9">
        <v>1</v>
      </c>
      <c r="D9">
        <v>59.649999999997398</v>
      </c>
      <c r="E9">
        <v>70.670000000000996</v>
      </c>
      <c r="F9">
        <v>52.999722222219702</v>
      </c>
      <c r="G9">
        <v>66.500000000000199</v>
      </c>
      <c r="H9">
        <v>3.92</v>
      </c>
      <c r="I9">
        <v>3.6319444444444899</v>
      </c>
      <c r="J9">
        <v>34.596666666668199</v>
      </c>
      <c r="K9">
        <v>1.42</v>
      </c>
      <c r="L9" t="s">
        <v>12</v>
      </c>
    </row>
    <row r="10" spans="1:12">
      <c r="A10">
        <v>6</v>
      </c>
      <c r="B10">
        <v>1</v>
      </c>
      <c r="C10">
        <v>1</v>
      </c>
      <c r="D10">
        <v>55.886666666665597</v>
      </c>
      <c r="E10">
        <v>65.893333333333601</v>
      </c>
      <c r="F10">
        <v>40.0822222222207</v>
      </c>
      <c r="G10">
        <v>53.798888888886999</v>
      </c>
      <c r="H10">
        <v>2.8033333333333301</v>
      </c>
      <c r="I10">
        <v>7.4994444444445598</v>
      </c>
      <c r="J10">
        <v>35.680000000001201</v>
      </c>
      <c r="K10">
        <v>1.14333333333333</v>
      </c>
      <c r="L10" t="s">
        <v>13</v>
      </c>
    </row>
    <row r="11" spans="1:12">
      <c r="A11">
        <v>12</v>
      </c>
      <c r="B11">
        <v>1</v>
      </c>
      <c r="C11">
        <v>1</v>
      </c>
      <c r="D11">
        <v>59.883333333332097</v>
      </c>
      <c r="E11">
        <v>69.863333333333998</v>
      </c>
      <c r="F11">
        <v>44.898333333331401</v>
      </c>
      <c r="G11">
        <v>58.535833333330601</v>
      </c>
      <c r="H11">
        <v>4.2</v>
      </c>
      <c r="I11">
        <v>7.09388888888894</v>
      </c>
      <c r="J11">
        <v>43.059999999998603</v>
      </c>
      <c r="K11">
        <v>0.51</v>
      </c>
      <c r="L11" t="s">
        <v>13</v>
      </c>
    </row>
    <row r="12" spans="1:12">
      <c r="A12">
        <v>6</v>
      </c>
      <c r="B12">
        <v>2</v>
      </c>
      <c r="C12">
        <v>1</v>
      </c>
      <c r="D12">
        <v>56.2233333333307</v>
      </c>
      <c r="E12">
        <v>68.596666666667403</v>
      </c>
      <c r="F12">
        <v>40.987222222220801</v>
      </c>
      <c r="G12">
        <v>59.492222222222601</v>
      </c>
      <c r="H12">
        <v>2.7</v>
      </c>
      <c r="I12">
        <v>7.4372222222223296</v>
      </c>
      <c r="J12">
        <v>34.016666666668002</v>
      </c>
      <c r="K12">
        <v>2.8433333333333</v>
      </c>
      <c r="L12" t="s">
        <v>13</v>
      </c>
    </row>
    <row r="13" spans="1:12">
      <c r="A13">
        <v>12</v>
      </c>
      <c r="B13">
        <v>2</v>
      </c>
      <c r="C13">
        <v>1</v>
      </c>
      <c r="D13">
        <v>60.289999999996603</v>
      </c>
      <c r="E13">
        <v>72.950000000001097</v>
      </c>
      <c r="F13">
        <v>45.5916666666648</v>
      </c>
      <c r="G13">
        <v>66.464722222221297</v>
      </c>
      <c r="H13">
        <v>3.88</v>
      </c>
      <c r="I13">
        <v>7.0111111111111502</v>
      </c>
      <c r="J13">
        <v>41.943333333332198</v>
      </c>
      <c r="K13">
        <v>1.5233333333333301</v>
      </c>
      <c r="L13" t="s">
        <v>13</v>
      </c>
    </row>
    <row r="14" spans="1:12">
      <c r="A14">
        <v>6</v>
      </c>
      <c r="B14">
        <v>1</v>
      </c>
      <c r="C14">
        <v>1</v>
      </c>
      <c r="D14">
        <v>57.1966666666655</v>
      </c>
      <c r="E14">
        <v>67.203333333333504</v>
      </c>
      <c r="F14">
        <v>46.389444444443498</v>
      </c>
      <c r="G14">
        <v>59.577777777777797</v>
      </c>
      <c r="H14">
        <v>2.0733333333333301</v>
      </c>
      <c r="I14">
        <v>5.2700000000001204</v>
      </c>
      <c r="J14">
        <v>25.360000000000099</v>
      </c>
      <c r="K14">
        <v>1.2733333333333301</v>
      </c>
      <c r="L14" t="s">
        <v>14</v>
      </c>
    </row>
    <row r="15" spans="1:12">
      <c r="A15">
        <v>12</v>
      </c>
      <c r="B15">
        <v>1</v>
      </c>
      <c r="C15">
        <v>1</v>
      </c>
      <c r="D15">
        <v>62.463333333332201</v>
      </c>
      <c r="E15">
        <v>72.550000000001106</v>
      </c>
      <c r="F15">
        <v>52.2558333333318</v>
      </c>
      <c r="G15">
        <v>64.549999999999798</v>
      </c>
      <c r="H15">
        <v>4.3266666666666698</v>
      </c>
      <c r="I15">
        <v>3.6833333333334499</v>
      </c>
      <c r="J15">
        <v>27.243333333333599</v>
      </c>
      <c r="K15">
        <v>0.73</v>
      </c>
      <c r="L15" t="s">
        <v>14</v>
      </c>
    </row>
    <row r="16" spans="1:12">
      <c r="A16">
        <v>6</v>
      </c>
      <c r="B16">
        <v>2</v>
      </c>
      <c r="C16">
        <v>1</v>
      </c>
      <c r="D16">
        <v>57.3999999999971</v>
      </c>
      <c r="E16">
        <v>70.560000000001097</v>
      </c>
      <c r="F16">
        <v>45.081666666665797</v>
      </c>
      <c r="G16">
        <v>61.310555555557102</v>
      </c>
      <c r="H16">
        <v>1.89333333333333</v>
      </c>
      <c r="I16">
        <v>6.2555555555557296</v>
      </c>
      <c r="J16">
        <v>23.400000000000301</v>
      </c>
      <c r="K16">
        <v>2.8233333333332999</v>
      </c>
      <c r="L16" t="s">
        <v>14</v>
      </c>
    </row>
    <row r="17" spans="1:12">
      <c r="A17">
        <v>12</v>
      </c>
      <c r="B17">
        <v>2</v>
      </c>
      <c r="C17">
        <v>1</v>
      </c>
      <c r="D17">
        <v>61.733333333329703</v>
      </c>
      <c r="E17">
        <v>74.850000000001799</v>
      </c>
      <c r="F17">
        <v>50.942777777776698</v>
      </c>
      <c r="G17">
        <v>65.681111111112301</v>
      </c>
      <c r="H17">
        <v>3.9</v>
      </c>
      <c r="I17">
        <v>4.5888888888889898</v>
      </c>
      <c r="J17">
        <v>26.963333333334202</v>
      </c>
      <c r="K17">
        <v>1.9266666666666601</v>
      </c>
      <c r="L17" t="s">
        <v>14</v>
      </c>
    </row>
    <row r="18" spans="1:12">
      <c r="A18">
        <v>6</v>
      </c>
      <c r="B18">
        <v>1</v>
      </c>
      <c r="C18">
        <v>1</v>
      </c>
      <c r="D18">
        <v>57.299999999999599</v>
      </c>
      <c r="E18">
        <v>66.760000000000204</v>
      </c>
      <c r="F18">
        <v>48.847777777775804</v>
      </c>
      <c r="G18">
        <v>61.633888888888698</v>
      </c>
      <c r="H18">
        <v>1.4766666666666699</v>
      </c>
      <c r="I18">
        <v>5.3972222222222701</v>
      </c>
      <c r="J18">
        <v>32.1733333333353</v>
      </c>
      <c r="K18">
        <v>0.99333333333333396</v>
      </c>
      <c r="L18" t="s">
        <v>15</v>
      </c>
    </row>
    <row r="19" spans="1:12">
      <c r="A19">
        <v>12</v>
      </c>
      <c r="B19">
        <v>1</v>
      </c>
      <c r="C19">
        <v>1</v>
      </c>
      <c r="D19">
        <v>61.136666666666002</v>
      </c>
      <c r="E19">
        <v>70.473333333334196</v>
      </c>
      <c r="F19">
        <v>53.748611111108701</v>
      </c>
      <c r="G19">
        <v>65.830277777775905</v>
      </c>
      <c r="H19">
        <v>2.8833333333333302</v>
      </c>
      <c r="I19">
        <v>4.51750000000004</v>
      </c>
      <c r="J19">
        <v>33.2666666666683</v>
      </c>
      <c r="K19">
        <v>0.48</v>
      </c>
      <c r="L19" t="s">
        <v>15</v>
      </c>
    </row>
    <row r="20" spans="1:12">
      <c r="A20">
        <v>6</v>
      </c>
      <c r="B20">
        <v>2</v>
      </c>
      <c r="C20">
        <v>1</v>
      </c>
      <c r="D20">
        <v>57.036666666664303</v>
      </c>
      <c r="E20">
        <v>68.263333333334302</v>
      </c>
      <c r="F20">
        <v>47.827777777775601</v>
      </c>
      <c r="G20">
        <v>61.981666666668502</v>
      </c>
      <c r="H20">
        <v>1.55666666666667</v>
      </c>
      <c r="I20">
        <v>5.4538888888889199</v>
      </c>
      <c r="J20">
        <v>33.476666666668301</v>
      </c>
      <c r="K20">
        <v>2.2166666666666499</v>
      </c>
      <c r="L20" t="s">
        <v>15</v>
      </c>
    </row>
    <row r="21" spans="1:12">
      <c r="A21">
        <v>12</v>
      </c>
      <c r="B21">
        <v>2</v>
      </c>
      <c r="C21">
        <v>1</v>
      </c>
      <c r="D21">
        <v>60.299999999997098</v>
      </c>
      <c r="E21">
        <v>72.140000000001294</v>
      </c>
      <c r="F21">
        <v>52.308611111108704</v>
      </c>
      <c r="G21">
        <v>67.558055555555896</v>
      </c>
      <c r="H21">
        <v>2.91333333333333</v>
      </c>
      <c r="I21">
        <v>4.5891666666667099</v>
      </c>
      <c r="J21">
        <v>34.796666666668301</v>
      </c>
      <c r="K21">
        <v>1.38333333333333</v>
      </c>
      <c r="L21" t="s">
        <v>15</v>
      </c>
    </row>
    <row r="22" spans="1:12">
      <c r="A22">
        <v>6</v>
      </c>
      <c r="B22">
        <v>1</v>
      </c>
      <c r="C22">
        <v>1</v>
      </c>
      <c r="D22">
        <v>56.040000000000198</v>
      </c>
      <c r="E22">
        <v>65.300000000000793</v>
      </c>
      <c r="F22">
        <v>47.388333333331403</v>
      </c>
      <c r="G22">
        <v>58.176111111110998</v>
      </c>
      <c r="H22">
        <v>2.62333333333333</v>
      </c>
      <c r="I22">
        <v>3.5116666666666498</v>
      </c>
      <c r="J22">
        <v>33.626666666667397</v>
      </c>
      <c r="K22">
        <v>0.82333333333333303</v>
      </c>
      <c r="L22" t="s">
        <v>16</v>
      </c>
    </row>
    <row r="23" spans="1:12">
      <c r="A23">
        <v>12</v>
      </c>
      <c r="B23">
        <v>1</v>
      </c>
      <c r="C23">
        <v>1</v>
      </c>
      <c r="D23">
        <v>60.586666666666403</v>
      </c>
      <c r="E23">
        <v>69.7633333333346</v>
      </c>
      <c r="F23">
        <v>52.475277777775403</v>
      </c>
      <c r="G23">
        <v>62.911666666665297</v>
      </c>
      <c r="H23">
        <v>4.42</v>
      </c>
      <c r="I23">
        <v>3.1261111111111299</v>
      </c>
      <c r="J23">
        <v>35.073333333334801</v>
      </c>
      <c r="K23">
        <v>0.44333333333333402</v>
      </c>
      <c r="L23" t="s">
        <v>16</v>
      </c>
    </row>
    <row r="24" spans="1:12">
      <c r="A24">
        <v>6</v>
      </c>
      <c r="B24">
        <v>2</v>
      </c>
      <c r="C24">
        <v>1</v>
      </c>
      <c r="D24">
        <v>55.846666666665101</v>
      </c>
      <c r="E24">
        <v>66.416666666667794</v>
      </c>
      <c r="F24">
        <v>46.8433333333316</v>
      </c>
      <c r="G24">
        <v>58.2422222222242</v>
      </c>
      <c r="H24">
        <v>2.62666666666667</v>
      </c>
      <c r="I24">
        <v>3.5199999999999898</v>
      </c>
      <c r="J24">
        <v>34.616666666667101</v>
      </c>
      <c r="K24">
        <v>2.13333333333332</v>
      </c>
      <c r="L24" t="s">
        <v>16</v>
      </c>
    </row>
    <row r="25" spans="1:12">
      <c r="A25">
        <v>12</v>
      </c>
      <c r="B25">
        <v>2</v>
      </c>
      <c r="C25">
        <v>1</v>
      </c>
      <c r="D25">
        <v>59.936666666664301</v>
      </c>
      <c r="E25">
        <v>71.453333333334797</v>
      </c>
      <c r="F25">
        <v>51.387222222219798</v>
      </c>
      <c r="G25">
        <v>64.337777777778697</v>
      </c>
      <c r="H25">
        <v>4.03</v>
      </c>
      <c r="I25">
        <v>3.13111111111114</v>
      </c>
      <c r="J25">
        <v>36.253333333334503</v>
      </c>
      <c r="K25">
        <v>1.35666666666666</v>
      </c>
      <c r="L25" t="s">
        <v>16</v>
      </c>
    </row>
    <row r="26" spans="1:12">
      <c r="A26">
        <v>6</v>
      </c>
      <c r="B26">
        <v>1</v>
      </c>
      <c r="C26">
        <v>1</v>
      </c>
      <c r="D26">
        <v>56.396666666667102</v>
      </c>
      <c r="E26">
        <v>65.543333333334203</v>
      </c>
      <c r="F26">
        <v>48.0005555555542</v>
      </c>
      <c r="G26">
        <v>58.554444444444599</v>
      </c>
      <c r="H26">
        <v>2.9033333333333302</v>
      </c>
      <c r="I26">
        <v>3.0105555555555501</v>
      </c>
      <c r="J26">
        <v>31.343333333333099</v>
      </c>
      <c r="K26">
        <v>0.89333333333333398</v>
      </c>
      <c r="L26" t="s">
        <v>17</v>
      </c>
    </row>
    <row r="27" spans="1:12">
      <c r="A27">
        <v>12</v>
      </c>
      <c r="B27">
        <v>1</v>
      </c>
      <c r="C27">
        <v>1</v>
      </c>
      <c r="D27">
        <v>61.106666666666698</v>
      </c>
      <c r="E27">
        <v>70.173333333334796</v>
      </c>
      <c r="F27">
        <v>53.795277777776199</v>
      </c>
      <c r="G27">
        <v>64.014444444444095</v>
      </c>
      <c r="H27">
        <v>5.1766666666666703</v>
      </c>
      <c r="I27">
        <v>2.3966666666666701</v>
      </c>
      <c r="J27">
        <v>32.320000000000398</v>
      </c>
      <c r="K27">
        <v>0.44666666666666699</v>
      </c>
      <c r="L27" t="s">
        <v>17</v>
      </c>
    </row>
    <row r="28" spans="1:12">
      <c r="A28">
        <v>6</v>
      </c>
      <c r="B28">
        <v>2</v>
      </c>
      <c r="C28">
        <v>1</v>
      </c>
      <c r="D28">
        <v>56.053333333332198</v>
      </c>
      <c r="E28">
        <v>66.0433333333348</v>
      </c>
      <c r="F28">
        <v>47.144999999998902</v>
      </c>
      <c r="G28">
        <v>57.671111111113298</v>
      </c>
      <c r="H28">
        <v>2.81666666666667</v>
      </c>
      <c r="I28">
        <v>3.0449999999999902</v>
      </c>
      <c r="J28">
        <v>32.859999999999701</v>
      </c>
      <c r="K28">
        <v>2.1033333333333202</v>
      </c>
      <c r="L28" t="s">
        <v>17</v>
      </c>
    </row>
    <row r="29" spans="1:12">
      <c r="A29">
        <v>12</v>
      </c>
      <c r="B29">
        <v>2</v>
      </c>
      <c r="C29">
        <v>1</v>
      </c>
      <c r="D29">
        <v>59.796666666665203</v>
      </c>
      <c r="E29">
        <v>70.320000000001798</v>
      </c>
      <c r="F29">
        <v>52.094166666665103</v>
      </c>
      <c r="G29">
        <v>63.245277777779201</v>
      </c>
      <c r="H29">
        <v>4.7</v>
      </c>
      <c r="I29">
        <v>2.4113888888888999</v>
      </c>
      <c r="J29">
        <v>34.493333333333503</v>
      </c>
      <c r="K29">
        <v>1.2466666666666599</v>
      </c>
      <c r="L29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Outputtable</vt:lpstr>
      <vt:lpstr>efficacy</vt:lpstr>
      <vt:lpstr>utility</vt:lpstr>
      <vt:lpstr>simres.csv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shl</cp:lastModifiedBy>
  <dcterms:created xsi:type="dcterms:W3CDTF">2022-03-09T23:05:10Z</dcterms:created>
  <dcterms:modified xsi:type="dcterms:W3CDTF">2022-08-31T16:30:20Z</dcterms:modified>
</cp:coreProperties>
</file>