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r\functional\comparedesign\Rev\code v3\sensitivity\"/>
    </mc:Choice>
  </mc:AlternateContent>
  <xr:revisionPtr revIDLastSave="0" documentId="13_ncr:1_{315A77D7-35E9-465D-8E23-B8E07919DD3B}" xr6:coauthVersionLast="47" xr6:coauthVersionMax="47" xr10:uidLastSave="{00000000-0000-0000-0000-000000000000}"/>
  <bookViews>
    <workbookView xWindow="-90" yWindow="-90" windowWidth="19380" windowHeight="9765" xr2:uid="{00000000-000D-0000-FFFF-FFFF00000000}"/>
  </bookViews>
  <sheets>
    <sheet name="Sheet1" sheetId="10" r:id="rId1"/>
    <sheet name="Outputtable1" sheetId="8" r:id="rId2"/>
    <sheet name="Outputtable2" sheetId="9" r:id="rId3"/>
    <sheet name="utility_phiT" sheetId="7" r:id="rId4"/>
    <sheet name="efficacy_phiT" sheetId="6" r:id="rId5"/>
    <sheet name="utility_zetaE" sheetId="5" r:id="rId6"/>
    <sheet name="efficacy_zetaE" sheetId="4" r:id="rId7"/>
    <sheet name="simres_sensitivity.csv" sheetId="1" r:id="rId8"/>
  </sheet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1" i="10" l="1"/>
  <c r="D41" i="10"/>
  <c r="E41" i="10"/>
  <c r="F41" i="10"/>
  <c r="G41" i="10"/>
  <c r="H41" i="10"/>
  <c r="I41" i="10"/>
  <c r="C43" i="10"/>
  <c r="D43" i="10"/>
  <c r="E43" i="10"/>
  <c r="F43" i="10"/>
  <c r="G43" i="10"/>
  <c r="H43" i="10"/>
  <c r="I43" i="10"/>
  <c r="C44" i="10"/>
  <c r="D44" i="10"/>
  <c r="E44" i="10"/>
  <c r="F44" i="10"/>
  <c r="G44" i="10"/>
  <c r="H44" i="10"/>
  <c r="I44" i="10"/>
  <c r="C45" i="10"/>
  <c r="D45" i="10"/>
  <c r="E45" i="10"/>
  <c r="F45" i="10"/>
  <c r="G45" i="10"/>
  <c r="H45" i="10"/>
  <c r="I45" i="10"/>
  <c r="C46" i="10"/>
  <c r="D46" i="10"/>
  <c r="E46" i="10"/>
  <c r="F46" i="10"/>
  <c r="G46" i="10"/>
  <c r="H46" i="10"/>
  <c r="I46" i="10"/>
  <c r="C47" i="10"/>
  <c r="D47" i="10"/>
  <c r="E47" i="10"/>
  <c r="F47" i="10"/>
  <c r="G47" i="10"/>
  <c r="H47" i="10"/>
  <c r="I47" i="10"/>
  <c r="J43" i="10"/>
  <c r="J44" i="10"/>
  <c r="J45" i="10"/>
  <c r="J46" i="10"/>
  <c r="J47" i="10"/>
  <c r="C48" i="10"/>
  <c r="D48" i="10"/>
  <c r="E48" i="10"/>
  <c r="F48" i="10"/>
  <c r="G48" i="10"/>
  <c r="H48" i="10"/>
  <c r="I48" i="10"/>
  <c r="J48" i="10"/>
  <c r="C49" i="10"/>
  <c r="D49" i="10"/>
  <c r="E49" i="10"/>
  <c r="F49" i="10"/>
  <c r="G49" i="10"/>
  <c r="H49" i="10"/>
  <c r="I49" i="10"/>
  <c r="J49" i="10"/>
  <c r="A35" i="10"/>
  <c r="C35" i="10"/>
  <c r="D35" i="10"/>
  <c r="E35" i="10"/>
  <c r="F35" i="10"/>
  <c r="G35" i="10"/>
  <c r="H35" i="10"/>
  <c r="I35" i="10"/>
  <c r="J35" i="10"/>
  <c r="C36" i="10"/>
  <c r="D36" i="10"/>
  <c r="E36" i="10"/>
  <c r="F36" i="10"/>
  <c r="G36" i="10"/>
  <c r="H36" i="10"/>
  <c r="I36" i="10"/>
  <c r="J36" i="10"/>
  <c r="C37" i="10"/>
  <c r="D37" i="10"/>
  <c r="E37" i="10"/>
  <c r="F37" i="10"/>
  <c r="G37" i="10"/>
  <c r="H37" i="10"/>
  <c r="I37" i="10"/>
  <c r="J37" i="10"/>
  <c r="C38" i="10"/>
  <c r="D38" i="10"/>
  <c r="E38" i="10"/>
  <c r="F38" i="10"/>
  <c r="G38" i="10"/>
  <c r="H38" i="10"/>
  <c r="I38" i="10"/>
  <c r="J38" i="10"/>
  <c r="C39" i="10"/>
  <c r="D39" i="10"/>
  <c r="E39" i="10"/>
  <c r="F39" i="10"/>
  <c r="G39" i="10"/>
  <c r="H39" i="10"/>
  <c r="I39" i="10"/>
  <c r="J39" i="10"/>
  <c r="C40" i="10"/>
  <c r="D40" i="10"/>
  <c r="E40" i="10"/>
  <c r="F40" i="10"/>
  <c r="G40" i="10"/>
  <c r="H40" i="10"/>
  <c r="I40" i="10"/>
  <c r="J40" i="10"/>
  <c r="J41" i="10"/>
  <c r="J33" i="10"/>
  <c r="I33" i="10"/>
  <c r="H33" i="10"/>
  <c r="G33" i="10"/>
  <c r="F33" i="10"/>
  <c r="E33" i="10"/>
  <c r="D33" i="10"/>
  <c r="C33" i="10"/>
  <c r="J32" i="10"/>
  <c r="I32" i="10"/>
  <c r="H32" i="10"/>
  <c r="G32" i="10"/>
  <c r="F32" i="10"/>
  <c r="E32" i="10"/>
  <c r="D32" i="10"/>
  <c r="C32" i="10"/>
  <c r="J31" i="10"/>
  <c r="I31" i="10"/>
  <c r="H31" i="10"/>
  <c r="G31" i="10"/>
  <c r="F31" i="10"/>
  <c r="E31" i="10"/>
  <c r="D31" i="10"/>
  <c r="C31" i="10"/>
  <c r="J30" i="10"/>
  <c r="I30" i="10"/>
  <c r="H30" i="10"/>
  <c r="G30" i="10"/>
  <c r="F30" i="10"/>
  <c r="E30" i="10"/>
  <c r="D30" i="10"/>
  <c r="C30" i="10"/>
  <c r="J29" i="10"/>
  <c r="I29" i="10"/>
  <c r="H29" i="10"/>
  <c r="G29" i="10"/>
  <c r="F29" i="10"/>
  <c r="E29" i="10"/>
  <c r="D29" i="10"/>
  <c r="C29" i="10"/>
  <c r="J28" i="10"/>
  <c r="I28" i="10"/>
  <c r="H28" i="10"/>
  <c r="G28" i="10"/>
  <c r="F28" i="10"/>
  <c r="E28" i="10"/>
  <c r="D28" i="10"/>
  <c r="C28" i="10"/>
  <c r="J27" i="10"/>
  <c r="I27" i="10"/>
  <c r="H27" i="10"/>
  <c r="G27" i="10"/>
  <c r="F27" i="10"/>
  <c r="E27" i="10"/>
  <c r="D27" i="10"/>
  <c r="C27" i="10"/>
  <c r="J25" i="10"/>
  <c r="I25" i="10"/>
  <c r="H25" i="10"/>
  <c r="G25" i="10"/>
  <c r="F25" i="10"/>
  <c r="E25" i="10"/>
  <c r="D25" i="10"/>
  <c r="C25" i="10"/>
  <c r="J24" i="10"/>
  <c r="I24" i="10"/>
  <c r="H24" i="10"/>
  <c r="G24" i="10"/>
  <c r="F24" i="10"/>
  <c r="E24" i="10"/>
  <c r="D24" i="10"/>
  <c r="C24" i="10"/>
  <c r="J23" i="10"/>
  <c r="I23" i="10"/>
  <c r="H23" i="10"/>
  <c r="G23" i="10"/>
  <c r="F23" i="10"/>
  <c r="E23" i="10"/>
  <c r="D23" i="10"/>
  <c r="C23" i="10"/>
  <c r="J22" i="10"/>
  <c r="I22" i="10"/>
  <c r="H22" i="10"/>
  <c r="G22" i="10"/>
  <c r="F22" i="10"/>
  <c r="E22" i="10"/>
  <c r="D22" i="10"/>
  <c r="C22" i="10"/>
  <c r="J21" i="10"/>
  <c r="I21" i="10"/>
  <c r="H21" i="10"/>
  <c r="G21" i="10"/>
  <c r="F21" i="10"/>
  <c r="E21" i="10"/>
  <c r="D21" i="10"/>
  <c r="C21" i="10"/>
  <c r="J20" i="10"/>
  <c r="I20" i="10"/>
  <c r="H20" i="10"/>
  <c r="G20" i="10"/>
  <c r="F20" i="10"/>
  <c r="E20" i="10"/>
  <c r="D20" i="10"/>
  <c r="C20" i="10"/>
  <c r="J19" i="10"/>
  <c r="I19" i="10"/>
  <c r="H19" i="10"/>
  <c r="G19" i="10"/>
  <c r="F19" i="10"/>
  <c r="E19" i="10"/>
  <c r="D19" i="10"/>
  <c r="C19" i="10"/>
  <c r="J17" i="10"/>
  <c r="I17" i="10"/>
  <c r="H17" i="10"/>
  <c r="G17" i="10"/>
  <c r="F17" i="10"/>
  <c r="E17" i="10"/>
  <c r="D17" i="10"/>
  <c r="C17" i="10"/>
  <c r="J16" i="10"/>
  <c r="I16" i="10"/>
  <c r="H16" i="10"/>
  <c r="G16" i="10"/>
  <c r="F16" i="10"/>
  <c r="E16" i="10"/>
  <c r="D16" i="10"/>
  <c r="C16" i="10"/>
  <c r="J15" i="10"/>
  <c r="I15" i="10"/>
  <c r="H15" i="10"/>
  <c r="G15" i="10"/>
  <c r="F15" i="10"/>
  <c r="E15" i="10"/>
  <c r="D15" i="10"/>
  <c r="C15" i="10"/>
  <c r="J14" i="10"/>
  <c r="I14" i="10"/>
  <c r="H14" i="10"/>
  <c r="G14" i="10"/>
  <c r="F14" i="10"/>
  <c r="E14" i="10"/>
  <c r="D14" i="10"/>
  <c r="C14" i="10"/>
  <c r="J13" i="10"/>
  <c r="I13" i="10"/>
  <c r="H13" i="10"/>
  <c r="G13" i="10"/>
  <c r="F13" i="10"/>
  <c r="E13" i="10"/>
  <c r="D13" i="10"/>
  <c r="C13" i="10"/>
  <c r="J12" i="10"/>
  <c r="I12" i="10"/>
  <c r="H12" i="10"/>
  <c r="G12" i="10"/>
  <c r="F12" i="10"/>
  <c r="E12" i="10"/>
  <c r="D12" i="10"/>
  <c r="C12" i="10"/>
  <c r="J11" i="10"/>
  <c r="I11" i="10"/>
  <c r="H11" i="10"/>
  <c r="G11" i="10"/>
  <c r="F11" i="10"/>
  <c r="E11" i="10"/>
  <c r="D11" i="10"/>
  <c r="C11" i="10"/>
  <c r="J9" i="10"/>
  <c r="I9" i="10"/>
  <c r="H9" i="10"/>
  <c r="G9" i="10"/>
  <c r="F9" i="10"/>
  <c r="E9" i="10"/>
  <c r="D9" i="10"/>
  <c r="C9" i="10"/>
  <c r="J8" i="10"/>
  <c r="I8" i="10"/>
  <c r="H8" i="10"/>
  <c r="G8" i="10"/>
  <c r="F8" i="10"/>
  <c r="E8" i="10"/>
  <c r="D8" i="10"/>
  <c r="C8" i="10"/>
  <c r="J7" i="10"/>
  <c r="I7" i="10"/>
  <c r="H7" i="10"/>
  <c r="G7" i="10"/>
  <c r="F7" i="10"/>
  <c r="E7" i="10"/>
  <c r="D7" i="10"/>
  <c r="C7" i="10"/>
  <c r="J6" i="10"/>
  <c r="I6" i="10"/>
  <c r="H6" i="10"/>
  <c r="G6" i="10"/>
  <c r="F6" i="10"/>
  <c r="E6" i="10"/>
  <c r="D6" i="10"/>
  <c r="C6" i="10"/>
  <c r="J5" i="10"/>
  <c r="I5" i="10"/>
  <c r="H5" i="10"/>
  <c r="G5" i="10"/>
  <c r="F5" i="10"/>
  <c r="E5" i="10"/>
  <c r="D5" i="10"/>
  <c r="C5" i="10"/>
  <c r="J4" i="10"/>
  <c r="I4" i="10"/>
  <c r="H4" i="10"/>
  <c r="G4" i="10"/>
  <c r="F4" i="10"/>
  <c r="E4" i="10"/>
  <c r="D4" i="10"/>
  <c r="C4" i="10"/>
  <c r="J3" i="10"/>
  <c r="I3" i="10"/>
  <c r="H3" i="10"/>
  <c r="G3" i="10"/>
  <c r="F3" i="10"/>
  <c r="E3" i="10"/>
  <c r="D3" i="10"/>
  <c r="C3" i="10"/>
  <c r="I28" i="8"/>
  <c r="I29" i="8"/>
  <c r="I30" i="8"/>
  <c r="I31" i="8"/>
  <c r="I32" i="8"/>
  <c r="I33" i="8"/>
  <c r="I27" i="8"/>
  <c r="I25" i="8"/>
  <c r="I24" i="8"/>
  <c r="I23" i="8"/>
  <c r="I22" i="8"/>
  <c r="I21" i="8"/>
  <c r="I20" i="8"/>
  <c r="I19" i="8"/>
  <c r="I17" i="8"/>
  <c r="I16" i="8"/>
  <c r="I15" i="8"/>
  <c r="I14" i="8"/>
  <c r="I13" i="8"/>
  <c r="I12" i="8"/>
  <c r="I11" i="8"/>
  <c r="I9" i="8"/>
  <c r="I8" i="8"/>
  <c r="I7" i="8"/>
  <c r="I6" i="8"/>
  <c r="I5" i="8"/>
  <c r="I4" i="8"/>
  <c r="I3" i="8"/>
  <c r="I20" i="9"/>
  <c r="I21" i="9"/>
  <c r="I22" i="9"/>
  <c r="I23" i="9"/>
  <c r="I24" i="9"/>
  <c r="I25" i="9"/>
  <c r="I19" i="9"/>
  <c r="I12" i="9"/>
  <c r="I13" i="9"/>
  <c r="I14" i="9"/>
  <c r="I15" i="9"/>
  <c r="I16" i="9"/>
  <c r="I17" i="9"/>
  <c r="I11" i="9"/>
  <c r="I4" i="9"/>
  <c r="I5" i="9"/>
  <c r="I6" i="9"/>
  <c r="I7" i="9"/>
  <c r="I8" i="9"/>
  <c r="I9" i="9"/>
  <c r="I3" i="9"/>
  <c r="B3" i="8"/>
  <c r="C3" i="8"/>
  <c r="D3" i="8"/>
  <c r="E3" i="8"/>
  <c r="F3" i="8"/>
  <c r="G3" i="8"/>
  <c r="H3" i="8"/>
  <c r="B4" i="8"/>
  <c r="C4" i="8"/>
  <c r="D4" i="8"/>
  <c r="E4" i="8"/>
  <c r="F4" i="8"/>
  <c r="G4" i="8"/>
  <c r="H4" i="8"/>
  <c r="B5" i="8"/>
  <c r="C5" i="8"/>
  <c r="D5" i="8"/>
  <c r="E5" i="8"/>
  <c r="F5" i="8"/>
  <c r="G5" i="8"/>
  <c r="H5" i="8"/>
  <c r="B6" i="8"/>
  <c r="C6" i="8"/>
  <c r="D6" i="8"/>
  <c r="E6" i="8"/>
  <c r="F6" i="8"/>
  <c r="G6" i="8"/>
  <c r="H6" i="8"/>
  <c r="B7" i="8"/>
  <c r="C7" i="8"/>
  <c r="D7" i="8"/>
  <c r="E7" i="8"/>
  <c r="F7" i="8"/>
  <c r="G7" i="8"/>
  <c r="H7" i="8"/>
  <c r="B8" i="8"/>
  <c r="C8" i="8"/>
  <c r="D8" i="8"/>
  <c r="E8" i="8"/>
  <c r="F8" i="8"/>
  <c r="G8" i="8"/>
  <c r="H8" i="8"/>
  <c r="B9" i="8"/>
  <c r="C9" i="8"/>
  <c r="D9" i="8"/>
  <c r="E9" i="8"/>
  <c r="F9" i="8"/>
  <c r="G9" i="8"/>
  <c r="H9" i="8"/>
  <c r="B11" i="8"/>
  <c r="C11" i="8"/>
  <c r="D11" i="8"/>
  <c r="E11" i="8"/>
  <c r="F11" i="8"/>
  <c r="G11" i="8"/>
  <c r="H11" i="8"/>
  <c r="B12" i="8"/>
  <c r="C12" i="8"/>
  <c r="D12" i="8"/>
  <c r="E12" i="8"/>
  <c r="F12" i="8"/>
  <c r="G12" i="8"/>
  <c r="H12" i="8"/>
  <c r="B13" i="8"/>
  <c r="C13" i="8"/>
  <c r="D13" i="8"/>
  <c r="E13" i="8"/>
  <c r="F13" i="8"/>
  <c r="G13" i="8"/>
  <c r="H13" i="8"/>
  <c r="B14" i="8"/>
  <c r="C14" i="8"/>
  <c r="D14" i="8"/>
  <c r="E14" i="8"/>
  <c r="F14" i="8"/>
  <c r="G14" i="8"/>
  <c r="H14" i="8"/>
  <c r="B15" i="8"/>
  <c r="C15" i="8"/>
  <c r="D15" i="8"/>
  <c r="E15" i="8"/>
  <c r="F15" i="8"/>
  <c r="G15" i="8"/>
  <c r="H15" i="8"/>
  <c r="B16" i="8"/>
  <c r="C16" i="8"/>
  <c r="D16" i="8"/>
  <c r="E16" i="8"/>
  <c r="F16" i="8"/>
  <c r="G16" i="8"/>
  <c r="H16" i="8"/>
  <c r="B17" i="8"/>
  <c r="C17" i="8"/>
  <c r="D17" i="8"/>
  <c r="E17" i="8"/>
  <c r="F17" i="8"/>
  <c r="G17" i="8"/>
  <c r="H17" i="8"/>
  <c r="B19" i="8"/>
  <c r="C19" i="8"/>
  <c r="D19" i="8"/>
  <c r="E19" i="8"/>
  <c r="F19" i="8"/>
  <c r="G19" i="8"/>
  <c r="H19" i="8"/>
  <c r="B20" i="8"/>
  <c r="C20" i="8"/>
  <c r="D20" i="8"/>
  <c r="E20" i="8"/>
  <c r="F20" i="8"/>
  <c r="G20" i="8"/>
  <c r="H20" i="8"/>
  <c r="B21" i="8"/>
  <c r="C21" i="8"/>
  <c r="D21" i="8"/>
  <c r="E21" i="8"/>
  <c r="F21" i="8"/>
  <c r="G21" i="8"/>
  <c r="H21" i="8"/>
  <c r="B22" i="8"/>
  <c r="C22" i="8"/>
  <c r="D22" i="8"/>
  <c r="E22" i="8"/>
  <c r="F22" i="8"/>
  <c r="G22" i="8"/>
  <c r="H22" i="8"/>
  <c r="B23" i="8"/>
  <c r="C23" i="8"/>
  <c r="D23" i="8"/>
  <c r="E23" i="8"/>
  <c r="F23" i="8"/>
  <c r="G23" i="8"/>
  <c r="H23" i="8"/>
  <c r="B24" i="8"/>
  <c r="C24" i="8"/>
  <c r="D24" i="8"/>
  <c r="E24" i="8"/>
  <c r="F24" i="8"/>
  <c r="G24" i="8"/>
  <c r="H24" i="8"/>
  <c r="B25" i="8"/>
  <c r="C25" i="8"/>
  <c r="D25" i="8"/>
  <c r="E25" i="8"/>
  <c r="F25" i="8"/>
  <c r="G25" i="8"/>
  <c r="H25" i="8"/>
  <c r="B27" i="8"/>
  <c r="C27" i="8"/>
  <c r="D27" i="8"/>
  <c r="E27" i="8"/>
  <c r="F27" i="8"/>
  <c r="G27" i="8"/>
  <c r="H27" i="8"/>
  <c r="B28" i="8"/>
  <c r="C28" i="8"/>
  <c r="D28" i="8"/>
  <c r="E28" i="8"/>
  <c r="F28" i="8"/>
  <c r="G28" i="8"/>
  <c r="H28" i="8"/>
  <c r="B29" i="8"/>
  <c r="C29" i="8"/>
  <c r="D29" i="8"/>
  <c r="E29" i="8"/>
  <c r="F29" i="8"/>
  <c r="G29" i="8"/>
  <c r="H29" i="8"/>
  <c r="B30" i="8"/>
  <c r="C30" i="8"/>
  <c r="D30" i="8"/>
  <c r="E30" i="8"/>
  <c r="F30" i="8"/>
  <c r="G30" i="8"/>
  <c r="H30" i="8"/>
  <c r="B31" i="8"/>
  <c r="C31" i="8"/>
  <c r="D31" i="8"/>
  <c r="E31" i="8"/>
  <c r="F31" i="8"/>
  <c r="G31" i="8"/>
  <c r="H31" i="8"/>
  <c r="B32" i="8"/>
  <c r="C32" i="8"/>
  <c r="D32" i="8"/>
  <c r="E32" i="8"/>
  <c r="F32" i="8"/>
  <c r="G32" i="8"/>
  <c r="H32" i="8"/>
  <c r="B33" i="8"/>
  <c r="C33" i="8"/>
  <c r="D33" i="8"/>
  <c r="E33" i="8"/>
  <c r="F33" i="8"/>
  <c r="G33" i="8"/>
  <c r="H33" i="8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6" i="9"/>
  <c r="G6" i="9"/>
  <c r="F6" i="9"/>
  <c r="E6" i="9"/>
  <c r="D6" i="9"/>
  <c r="C6" i="9"/>
  <c r="B6" i="9"/>
  <c r="H5" i="9"/>
  <c r="G5" i="9"/>
  <c r="F5" i="9"/>
  <c r="E5" i="9"/>
  <c r="D5" i="9"/>
  <c r="C5" i="9"/>
  <c r="B5" i="9"/>
  <c r="H4" i="9"/>
  <c r="G4" i="9"/>
  <c r="F4" i="9"/>
  <c r="E4" i="9"/>
  <c r="D4" i="9"/>
  <c r="C4" i="9"/>
  <c r="B4" i="9"/>
  <c r="H3" i="9"/>
  <c r="G3" i="9"/>
  <c r="F3" i="9"/>
  <c r="E3" i="9"/>
  <c r="D3" i="9"/>
  <c r="C3" i="9"/>
  <c r="B3" i="9"/>
  <c r="R26" i="7" l="1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33" i="4"/>
  <c r="R32" i="4"/>
  <c r="R31" i="4"/>
  <c r="R30" i="4"/>
  <c r="R29" i="4"/>
  <c r="R28" i="4"/>
  <c r="R27" i="4"/>
  <c r="R26" i="4"/>
  <c r="R25" i="4"/>
  <c r="R24" i="4"/>
  <c r="R23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Q26" i="7"/>
  <c r="P26" i="7"/>
  <c r="O26" i="7"/>
  <c r="N26" i="7"/>
  <c r="M26" i="7"/>
  <c r="L26" i="7"/>
  <c r="Q25" i="7"/>
  <c r="P25" i="7"/>
  <c r="O25" i="7"/>
  <c r="N25" i="7"/>
  <c r="M25" i="7"/>
  <c r="L25" i="7"/>
  <c r="Q24" i="7"/>
  <c r="P24" i="7"/>
  <c r="O24" i="7"/>
  <c r="N24" i="7"/>
  <c r="M24" i="7"/>
  <c r="L24" i="7"/>
  <c r="Q23" i="7"/>
  <c r="P23" i="7"/>
  <c r="O23" i="7"/>
  <c r="N23" i="7"/>
  <c r="M23" i="7"/>
  <c r="L23" i="7"/>
  <c r="Q22" i="7"/>
  <c r="P22" i="7"/>
  <c r="O22" i="7"/>
  <c r="N22" i="7"/>
  <c r="M22" i="7"/>
  <c r="L22" i="7"/>
  <c r="Q21" i="7"/>
  <c r="Y26" i="7" s="1"/>
  <c r="P21" i="7"/>
  <c r="O21" i="7"/>
  <c r="N21" i="7"/>
  <c r="M21" i="7"/>
  <c r="L21" i="7"/>
  <c r="Q20" i="7"/>
  <c r="P20" i="7"/>
  <c r="O20" i="7"/>
  <c r="N20" i="7"/>
  <c r="M20" i="7"/>
  <c r="L20" i="7"/>
  <c r="Q19" i="7"/>
  <c r="P19" i="7"/>
  <c r="O19" i="7"/>
  <c r="N19" i="7"/>
  <c r="M19" i="7"/>
  <c r="L19" i="7"/>
  <c r="Q18" i="7"/>
  <c r="P18" i="7"/>
  <c r="O18" i="7"/>
  <c r="N18" i="7"/>
  <c r="M18" i="7"/>
  <c r="L18" i="7"/>
  <c r="Q17" i="7"/>
  <c r="P17" i="7"/>
  <c r="O17" i="7"/>
  <c r="N17" i="7"/>
  <c r="M17" i="7"/>
  <c r="L17" i="7"/>
  <c r="Q16" i="7"/>
  <c r="P16" i="7"/>
  <c r="O16" i="7"/>
  <c r="N16" i="7"/>
  <c r="M16" i="7"/>
  <c r="L16" i="7"/>
  <c r="Q15" i="7"/>
  <c r="P15" i="7"/>
  <c r="O15" i="7"/>
  <c r="N15" i="7"/>
  <c r="M15" i="7"/>
  <c r="L15" i="7"/>
  <c r="Q14" i="7"/>
  <c r="P14" i="7"/>
  <c r="O14" i="7"/>
  <c r="N14" i="7"/>
  <c r="M14" i="7"/>
  <c r="L14" i="7"/>
  <c r="Q13" i="7"/>
  <c r="P13" i="7"/>
  <c r="O13" i="7"/>
  <c r="N13" i="7"/>
  <c r="M13" i="7"/>
  <c r="L13" i="7"/>
  <c r="Q12" i="7"/>
  <c r="P12" i="7"/>
  <c r="O12" i="7"/>
  <c r="N12" i="7"/>
  <c r="M12" i="7"/>
  <c r="L12" i="7"/>
  <c r="Q11" i="7"/>
  <c r="P11" i="7"/>
  <c r="O11" i="7"/>
  <c r="N11" i="7"/>
  <c r="M11" i="7"/>
  <c r="L11" i="7"/>
  <c r="Q10" i="7"/>
  <c r="P10" i="7"/>
  <c r="O10" i="7"/>
  <c r="N10" i="7"/>
  <c r="M10" i="7"/>
  <c r="L10" i="7"/>
  <c r="Q9" i="7"/>
  <c r="P9" i="7"/>
  <c r="O9" i="7"/>
  <c r="N9" i="7"/>
  <c r="M9" i="7"/>
  <c r="L9" i="7"/>
  <c r="Q8" i="7"/>
  <c r="P8" i="7"/>
  <c r="O8" i="7"/>
  <c r="N8" i="7"/>
  <c r="M8" i="7"/>
  <c r="L8" i="7"/>
  <c r="Q7" i="7"/>
  <c r="P7" i="7"/>
  <c r="O7" i="7"/>
  <c r="N7" i="7"/>
  <c r="M7" i="7"/>
  <c r="L7" i="7"/>
  <c r="Q6" i="7"/>
  <c r="P6" i="7"/>
  <c r="O6" i="7"/>
  <c r="N6" i="7"/>
  <c r="M6" i="7"/>
  <c r="U7" i="7" s="1"/>
  <c r="L6" i="7"/>
  <c r="Q26" i="6"/>
  <c r="P26" i="6"/>
  <c r="O26" i="6"/>
  <c r="N26" i="6"/>
  <c r="M26" i="6"/>
  <c r="L26" i="6"/>
  <c r="Q25" i="6"/>
  <c r="P25" i="6"/>
  <c r="O25" i="6"/>
  <c r="N25" i="6"/>
  <c r="M25" i="6"/>
  <c r="L25" i="6"/>
  <c r="Q24" i="6"/>
  <c r="P24" i="6"/>
  <c r="O24" i="6"/>
  <c r="N24" i="6"/>
  <c r="M24" i="6"/>
  <c r="L24" i="6"/>
  <c r="Q23" i="6"/>
  <c r="P23" i="6"/>
  <c r="O23" i="6"/>
  <c r="N23" i="6"/>
  <c r="M23" i="6"/>
  <c r="L23" i="6"/>
  <c r="Q22" i="6"/>
  <c r="P22" i="6"/>
  <c r="O22" i="6"/>
  <c r="N22" i="6"/>
  <c r="M22" i="6"/>
  <c r="L22" i="6"/>
  <c r="Q21" i="6"/>
  <c r="P21" i="6"/>
  <c r="O21" i="6"/>
  <c r="N21" i="6"/>
  <c r="M21" i="6"/>
  <c r="L21" i="6"/>
  <c r="Q20" i="6"/>
  <c r="Y21" i="6" s="1"/>
  <c r="P20" i="6"/>
  <c r="O20" i="6"/>
  <c r="N20" i="6"/>
  <c r="M20" i="6"/>
  <c r="L20" i="6"/>
  <c r="Q19" i="6"/>
  <c r="P19" i="6"/>
  <c r="O19" i="6"/>
  <c r="N19" i="6"/>
  <c r="M19" i="6"/>
  <c r="L19" i="6"/>
  <c r="Q18" i="6"/>
  <c r="P18" i="6"/>
  <c r="O18" i="6"/>
  <c r="N18" i="6"/>
  <c r="M18" i="6"/>
  <c r="L18" i="6"/>
  <c r="Q17" i="6"/>
  <c r="P17" i="6"/>
  <c r="O17" i="6"/>
  <c r="N17" i="6"/>
  <c r="M17" i="6"/>
  <c r="L17" i="6"/>
  <c r="Q16" i="6"/>
  <c r="P16" i="6"/>
  <c r="O16" i="6"/>
  <c r="N16" i="6"/>
  <c r="M16" i="6"/>
  <c r="L16" i="6"/>
  <c r="Q15" i="6"/>
  <c r="P15" i="6"/>
  <c r="O15" i="6"/>
  <c r="N15" i="6"/>
  <c r="M15" i="6"/>
  <c r="L15" i="6"/>
  <c r="Q14" i="6"/>
  <c r="P14" i="6"/>
  <c r="O14" i="6"/>
  <c r="W14" i="6" s="1"/>
  <c r="N14" i="6"/>
  <c r="M14" i="6"/>
  <c r="L14" i="6"/>
  <c r="T14" i="6" s="1"/>
  <c r="Q13" i="6"/>
  <c r="P13" i="6"/>
  <c r="O13" i="6"/>
  <c r="N13" i="6"/>
  <c r="M13" i="6"/>
  <c r="L13" i="6"/>
  <c r="Q12" i="6"/>
  <c r="P12" i="6"/>
  <c r="O12" i="6"/>
  <c r="N12" i="6"/>
  <c r="M12" i="6"/>
  <c r="L12" i="6"/>
  <c r="Q11" i="6"/>
  <c r="P11" i="6"/>
  <c r="O11" i="6"/>
  <c r="N11" i="6"/>
  <c r="M11" i="6"/>
  <c r="L11" i="6"/>
  <c r="Q10" i="6"/>
  <c r="P10" i="6"/>
  <c r="O10" i="6"/>
  <c r="N10" i="6"/>
  <c r="M10" i="6"/>
  <c r="L10" i="6"/>
  <c r="Q9" i="6"/>
  <c r="P9" i="6"/>
  <c r="O9" i="6"/>
  <c r="N9" i="6"/>
  <c r="M9" i="6"/>
  <c r="L9" i="6"/>
  <c r="Q8" i="6"/>
  <c r="P8" i="6"/>
  <c r="O8" i="6"/>
  <c r="N8" i="6"/>
  <c r="M8" i="6"/>
  <c r="L8" i="6"/>
  <c r="Q7" i="6"/>
  <c r="P7" i="6"/>
  <c r="O7" i="6"/>
  <c r="N7" i="6"/>
  <c r="M7" i="6"/>
  <c r="L7" i="6"/>
  <c r="Q6" i="6"/>
  <c r="P6" i="6"/>
  <c r="O6" i="6"/>
  <c r="N6" i="6"/>
  <c r="M6" i="6"/>
  <c r="U6" i="6" s="1"/>
  <c r="L6" i="6"/>
  <c r="Q33" i="5"/>
  <c r="P33" i="5"/>
  <c r="O33" i="5"/>
  <c r="N33" i="5"/>
  <c r="M33" i="5"/>
  <c r="L33" i="5"/>
  <c r="Q32" i="5"/>
  <c r="P32" i="5"/>
  <c r="O32" i="5"/>
  <c r="N32" i="5"/>
  <c r="M32" i="5"/>
  <c r="L32" i="5"/>
  <c r="Q31" i="5"/>
  <c r="P31" i="5"/>
  <c r="O31" i="5"/>
  <c r="N31" i="5"/>
  <c r="M31" i="5"/>
  <c r="L31" i="5"/>
  <c r="Q30" i="5"/>
  <c r="P30" i="5"/>
  <c r="O30" i="5"/>
  <c r="N30" i="5"/>
  <c r="M30" i="5"/>
  <c r="L30" i="5"/>
  <c r="Q29" i="5"/>
  <c r="P29" i="5"/>
  <c r="O29" i="5"/>
  <c r="N29" i="5"/>
  <c r="M29" i="5"/>
  <c r="L29" i="5"/>
  <c r="Q28" i="5"/>
  <c r="Y28" i="5" s="1"/>
  <c r="P28" i="5"/>
  <c r="O28" i="5"/>
  <c r="N28" i="5"/>
  <c r="M28" i="5"/>
  <c r="L28" i="5"/>
  <c r="Q27" i="5"/>
  <c r="P27" i="5"/>
  <c r="O27" i="5"/>
  <c r="N27" i="5"/>
  <c r="M27" i="5"/>
  <c r="L27" i="5"/>
  <c r="T27" i="5" s="1"/>
  <c r="Q26" i="5"/>
  <c r="P26" i="5"/>
  <c r="O26" i="5"/>
  <c r="N26" i="5"/>
  <c r="M26" i="5"/>
  <c r="L26" i="5"/>
  <c r="Q25" i="5"/>
  <c r="P25" i="5"/>
  <c r="O25" i="5"/>
  <c r="N25" i="5"/>
  <c r="M25" i="5"/>
  <c r="L25" i="5"/>
  <c r="Q24" i="5"/>
  <c r="P24" i="5"/>
  <c r="O24" i="5"/>
  <c r="N24" i="5"/>
  <c r="M24" i="5"/>
  <c r="L24" i="5"/>
  <c r="Q23" i="5"/>
  <c r="P23" i="5"/>
  <c r="O23" i="5"/>
  <c r="N23" i="5"/>
  <c r="M23" i="5"/>
  <c r="L23" i="5"/>
  <c r="Q22" i="5"/>
  <c r="P22" i="5"/>
  <c r="O22" i="5"/>
  <c r="N22" i="5"/>
  <c r="M22" i="5"/>
  <c r="U20" i="5" s="1"/>
  <c r="L22" i="5"/>
  <c r="Q21" i="5"/>
  <c r="P21" i="5"/>
  <c r="O21" i="5"/>
  <c r="N21" i="5"/>
  <c r="M21" i="5"/>
  <c r="L21" i="5"/>
  <c r="Q20" i="5"/>
  <c r="P20" i="5"/>
  <c r="O20" i="5"/>
  <c r="N20" i="5"/>
  <c r="M20" i="5"/>
  <c r="L20" i="5"/>
  <c r="Q19" i="5"/>
  <c r="P19" i="5"/>
  <c r="O19" i="5"/>
  <c r="N19" i="5"/>
  <c r="M19" i="5"/>
  <c r="L19" i="5"/>
  <c r="Q18" i="5"/>
  <c r="P18" i="5"/>
  <c r="O18" i="5"/>
  <c r="N18" i="5"/>
  <c r="M18" i="5"/>
  <c r="L18" i="5"/>
  <c r="Q17" i="5"/>
  <c r="P17" i="5"/>
  <c r="O17" i="5"/>
  <c r="N17" i="5"/>
  <c r="M17" i="5"/>
  <c r="L17" i="5"/>
  <c r="Q16" i="5"/>
  <c r="P16" i="5"/>
  <c r="O16" i="5"/>
  <c r="N16" i="5"/>
  <c r="M16" i="5"/>
  <c r="L16" i="5"/>
  <c r="Q15" i="5"/>
  <c r="P15" i="5"/>
  <c r="O15" i="5"/>
  <c r="N15" i="5"/>
  <c r="M15" i="5"/>
  <c r="L15" i="5"/>
  <c r="Q14" i="5"/>
  <c r="P14" i="5"/>
  <c r="O14" i="5"/>
  <c r="W13" i="5" s="1"/>
  <c r="N14" i="5"/>
  <c r="M14" i="5"/>
  <c r="L14" i="5"/>
  <c r="Q13" i="5"/>
  <c r="P13" i="5"/>
  <c r="O13" i="5"/>
  <c r="N13" i="5"/>
  <c r="M13" i="5"/>
  <c r="L13" i="5"/>
  <c r="Q12" i="5"/>
  <c r="P12" i="5"/>
  <c r="O12" i="5"/>
  <c r="N12" i="5"/>
  <c r="M12" i="5"/>
  <c r="L12" i="5"/>
  <c r="Q11" i="5"/>
  <c r="P11" i="5"/>
  <c r="O11" i="5"/>
  <c r="N11" i="5"/>
  <c r="M11" i="5"/>
  <c r="L11" i="5"/>
  <c r="Q10" i="5"/>
  <c r="P10" i="5"/>
  <c r="O10" i="5"/>
  <c r="N10" i="5"/>
  <c r="M10" i="5"/>
  <c r="L10" i="5"/>
  <c r="Q9" i="5"/>
  <c r="P9" i="5"/>
  <c r="O9" i="5"/>
  <c r="N9" i="5"/>
  <c r="M9" i="5"/>
  <c r="L9" i="5"/>
  <c r="Q8" i="5"/>
  <c r="P8" i="5"/>
  <c r="O8" i="5"/>
  <c r="N8" i="5"/>
  <c r="M8" i="5"/>
  <c r="L8" i="5"/>
  <c r="Q7" i="5"/>
  <c r="P7" i="5"/>
  <c r="O7" i="5"/>
  <c r="N7" i="5"/>
  <c r="M7" i="5"/>
  <c r="L7" i="5"/>
  <c r="Q6" i="5"/>
  <c r="P6" i="5"/>
  <c r="O6" i="5"/>
  <c r="N6" i="5"/>
  <c r="M6" i="5"/>
  <c r="L6" i="5"/>
  <c r="Y27" i="4"/>
  <c r="Y29" i="4"/>
  <c r="T29" i="4"/>
  <c r="U31" i="4"/>
  <c r="Q33" i="4"/>
  <c r="Y33" i="4" s="1"/>
  <c r="P33" i="4"/>
  <c r="O33" i="4"/>
  <c r="N33" i="4"/>
  <c r="M33" i="4"/>
  <c r="U33" i="4" s="1"/>
  <c r="L33" i="4"/>
  <c r="Q32" i="4"/>
  <c r="P32" i="4"/>
  <c r="O32" i="4"/>
  <c r="N32" i="4"/>
  <c r="V32" i="4" s="1"/>
  <c r="M32" i="4"/>
  <c r="L32" i="4"/>
  <c r="Q31" i="4"/>
  <c r="Y31" i="4" s="1"/>
  <c r="P31" i="4"/>
  <c r="O31" i="4"/>
  <c r="W31" i="4" s="1"/>
  <c r="N31" i="4"/>
  <c r="M31" i="4"/>
  <c r="L31" i="4"/>
  <c r="T31" i="4" s="1"/>
  <c r="Q30" i="4"/>
  <c r="P30" i="4"/>
  <c r="O30" i="4"/>
  <c r="W30" i="4" s="1"/>
  <c r="N30" i="4"/>
  <c r="V30" i="4" s="1"/>
  <c r="M30" i="4"/>
  <c r="U30" i="4" s="1"/>
  <c r="L30" i="4"/>
  <c r="Q29" i="4"/>
  <c r="P29" i="4"/>
  <c r="O29" i="4"/>
  <c r="N29" i="4"/>
  <c r="V29" i="4" s="1"/>
  <c r="M29" i="4"/>
  <c r="U29" i="4" s="1"/>
  <c r="L29" i="4"/>
  <c r="Q28" i="4"/>
  <c r="P28" i="4"/>
  <c r="O28" i="4"/>
  <c r="W28" i="4" s="1"/>
  <c r="N28" i="4"/>
  <c r="V28" i="4" s="1"/>
  <c r="M28" i="4"/>
  <c r="L28" i="4"/>
  <c r="T28" i="4" s="1"/>
  <c r="Q27" i="4"/>
  <c r="P27" i="4"/>
  <c r="X27" i="4" s="1"/>
  <c r="O27" i="4"/>
  <c r="W27" i="4" s="1"/>
  <c r="N27" i="4"/>
  <c r="M27" i="4"/>
  <c r="U27" i="4" s="1"/>
  <c r="L27" i="4"/>
  <c r="T33" i="4" s="1"/>
  <c r="W24" i="4"/>
  <c r="W26" i="4"/>
  <c r="U23" i="4"/>
  <c r="V25" i="4"/>
  <c r="Q26" i="4"/>
  <c r="P26" i="4"/>
  <c r="O26" i="4"/>
  <c r="N26" i="4"/>
  <c r="M26" i="4"/>
  <c r="L26" i="4"/>
  <c r="Q25" i="4"/>
  <c r="P25" i="4"/>
  <c r="O25" i="4"/>
  <c r="N25" i="4"/>
  <c r="M25" i="4"/>
  <c r="U25" i="4" s="1"/>
  <c r="L25" i="4"/>
  <c r="T25" i="4" s="1"/>
  <c r="Q24" i="4"/>
  <c r="Y24" i="4" s="1"/>
  <c r="P24" i="4"/>
  <c r="O24" i="4"/>
  <c r="N24" i="4"/>
  <c r="V24" i="4" s="1"/>
  <c r="M24" i="4"/>
  <c r="L24" i="4"/>
  <c r="Q23" i="4"/>
  <c r="P23" i="4"/>
  <c r="O23" i="4"/>
  <c r="N23" i="4"/>
  <c r="M23" i="4"/>
  <c r="L23" i="4"/>
  <c r="T23" i="4" s="1"/>
  <c r="Q22" i="4"/>
  <c r="P22" i="4"/>
  <c r="O22" i="4"/>
  <c r="W22" i="4" s="1"/>
  <c r="N22" i="4"/>
  <c r="M22" i="4"/>
  <c r="L22" i="4"/>
  <c r="Q21" i="4"/>
  <c r="P21" i="4"/>
  <c r="X21" i="4" s="1"/>
  <c r="O21" i="4"/>
  <c r="N21" i="4"/>
  <c r="V21" i="4" s="1"/>
  <c r="M21" i="4"/>
  <c r="L21" i="4"/>
  <c r="T21" i="4" s="1"/>
  <c r="Q20" i="4"/>
  <c r="Y20" i="4" s="1"/>
  <c r="P20" i="4"/>
  <c r="O20" i="4"/>
  <c r="W20" i="4" s="1"/>
  <c r="N20" i="4"/>
  <c r="V20" i="4" s="1"/>
  <c r="M20" i="4"/>
  <c r="U20" i="4" s="1"/>
  <c r="L20" i="4"/>
  <c r="T20" i="4" s="1"/>
  <c r="W13" i="4"/>
  <c r="T14" i="4"/>
  <c r="U14" i="4"/>
  <c r="T18" i="4"/>
  <c r="Q19" i="4"/>
  <c r="P19" i="4"/>
  <c r="O19" i="4"/>
  <c r="W19" i="4" s="1"/>
  <c r="N19" i="4"/>
  <c r="M19" i="4"/>
  <c r="L19" i="4"/>
  <c r="Q18" i="4"/>
  <c r="P18" i="4"/>
  <c r="O18" i="4"/>
  <c r="N18" i="4"/>
  <c r="V18" i="4" s="1"/>
  <c r="M18" i="4"/>
  <c r="U18" i="4" s="1"/>
  <c r="L18" i="4"/>
  <c r="Q17" i="4"/>
  <c r="P17" i="4"/>
  <c r="O17" i="4"/>
  <c r="W17" i="4" s="1"/>
  <c r="N17" i="4"/>
  <c r="V17" i="4" s="1"/>
  <c r="M17" i="4"/>
  <c r="L17" i="4"/>
  <c r="Q16" i="4"/>
  <c r="P16" i="4"/>
  <c r="O16" i="4"/>
  <c r="N16" i="4"/>
  <c r="V16" i="4" s="1"/>
  <c r="M16" i="4"/>
  <c r="U16" i="4" s="1"/>
  <c r="L16" i="4"/>
  <c r="Q15" i="4"/>
  <c r="P15" i="4"/>
  <c r="O15" i="4"/>
  <c r="W15" i="4" s="1"/>
  <c r="N15" i="4"/>
  <c r="M15" i="4"/>
  <c r="L15" i="4"/>
  <c r="Q14" i="4"/>
  <c r="Y14" i="4" s="1"/>
  <c r="P14" i="4"/>
  <c r="X14" i="4" s="1"/>
  <c r="O14" i="4"/>
  <c r="W14" i="4" s="1"/>
  <c r="N14" i="4"/>
  <c r="V14" i="4" s="1"/>
  <c r="M14" i="4"/>
  <c r="L14" i="4"/>
  <c r="Q13" i="4"/>
  <c r="P13" i="4"/>
  <c r="O13" i="4"/>
  <c r="N13" i="4"/>
  <c r="V13" i="4" s="1"/>
  <c r="M13" i="4"/>
  <c r="L13" i="4"/>
  <c r="T13" i="4" s="1"/>
  <c r="V6" i="4"/>
  <c r="U8" i="4"/>
  <c r="U12" i="4"/>
  <c r="V12" i="4"/>
  <c r="L6" i="4"/>
  <c r="T6" i="4" s="1"/>
  <c r="M6" i="4"/>
  <c r="U6" i="4" s="1"/>
  <c r="N6" i="4"/>
  <c r="O6" i="4"/>
  <c r="P6" i="4"/>
  <c r="X6" i="4" s="1"/>
  <c r="Q6" i="4"/>
  <c r="L7" i="4"/>
  <c r="M7" i="4"/>
  <c r="N7" i="4"/>
  <c r="O7" i="4"/>
  <c r="P7" i="4"/>
  <c r="Q7" i="4"/>
  <c r="L8" i="4"/>
  <c r="M8" i="4"/>
  <c r="N8" i="4"/>
  <c r="V8" i="4" s="1"/>
  <c r="O8" i="4"/>
  <c r="P8" i="4"/>
  <c r="Q8" i="4"/>
  <c r="L9" i="4"/>
  <c r="M9" i="4"/>
  <c r="N9" i="4"/>
  <c r="O9" i="4"/>
  <c r="P9" i="4"/>
  <c r="Q9" i="4"/>
  <c r="L10" i="4"/>
  <c r="T10" i="4" s="1"/>
  <c r="M10" i="4"/>
  <c r="U10" i="4" s="1"/>
  <c r="N10" i="4"/>
  <c r="V10" i="4" s="1"/>
  <c r="O10" i="4"/>
  <c r="P10" i="4"/>
  <c r="X10" i="4" s="1"/>
  <c r="Q10" i="4"/>
  <c r="Y10" i="4" s="1"/>
  <c r="L11" i="4"/>
  <c r="T11" i="4" s="1"/>
  <c r="M11" i="4"/>
  <c r="N11" i="4"/>
  <c r="V11" i="4" s="1"/>
  <c r="O11" i="4"/>
  <c r="P11" i="4"/>
  <c r="X11" i="4" s="1"/>
  <c r="Q11" i="4"/>
  <c r="Y11" i="4" s="1"/>
  <c r="L12" i="4"/>
  <c r="M12" i="4"/>
  <c r="N12" i="4"/>
  <c r="O12" i="4"/>
  <c r="W12" i="4" s="1"/>
  <c r="P12" i="4"/>
  <c r="X12" i="4" s="1"/>
  <c r="Q12" i="4"/>
  <c r="Y12" i="4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2" i="1"/>
  <c r="X7" i="4" l="1"/>
  <c r="T9" i="4"/>
  <c r="T7" i="4"/>
  <c r="X23" i="4"/>
  <c r="X25" i="4"/>
  <c r="V23" i="4"/>
  <c r="V20" i="5"/>
  <c r="T15" i="7"/>
  <c r="V25" i="7"/>
  <c r="Y6" i="4"/>
  <c r="Y23" i="4"/>
  <c r="V27" i="4"/>
  <c r="X8" i="4"/>
  <c r="W18" i="4"/>
  <c r="T22" i="4"/>
  <c r="W29" i="4"/>
  <c r="S29" i="4" s="1"/>
  <c r="W10" i="4"/>
  <c r="W8" i="4"/>
  <c r="W9" i="4"/>
  <c r="X16" i="4"/>
  <c r="X18" i="4"/>
  <c r="U22" i="4"/>
  <c r="U24" i="4"/>
  <c r="U26" i="4"/>
  <c r="X29" i="4"/>
  <c r="X31" i="4"/>
  <c r="X33" i="4"/>
  <c r="Y25" i="4"/>
  <c r="V31" i="4"/>
  <c r="S31" i="4" s="1"/>
  <c r="Y16" i="4"/>
  <c r="Y18" i="4"/>
  <c r="V22" i="4"/>
  <c r="V26" i="4"/>
  <c r="U21" i="4"/>
  <c r="S21" i="4" s="1"/>
  <c r="T27" i="4"/>
  <c r="Y30" i="5"/>
  <c r="X12" i="6"/>
  <c r="X9" i="7"/>
  <c r="T26" i="4"/>
  <c r="S26" i="4" s="1"/>
  <c r="T15" i="4"/>
  <c r="T17" i="4"/>
  <c r="T19" i="4"/>
  <c r="T16" i="4"/>
  <c r="T30" i="4"/>
  <c r="T32" i="4"/>
  <c r="Y11" i="7"/>
  <c r="Y15" i="7"/>
  <c r="Y8" i="4"/>
  <c r="Y21" i="4"/>
  <c r="V33" i="4"/>
  <c r="W16" i="4"/>
  <c r="S16" i="4" s="1"/>
  <c r="T24" i="4"/>
  <c r="S24" i="4" s="1"/>
  <c r="W33" i="4"/>
  <c r="T12" i="4"/>
  <c r="T8" i="4"/>
  <c r="U13" i="4"/>
  <c r="U15" i="4"/>
  <c r="U17" i="4"/>
  <c r="S17" i="4" s="1"/>
  <c r="U19" i="4"/>
  <c r="X20" i="4"/>
  <c r="X22" i="4"/>
  <c r="X24" i="4"/>
  <c r="X26" i="4"/>
  <c r="U28" i="4"/>
  <c r="S28" i="4" s="1"/>
  <c r="U32" i="4"/>
  <c r="W7" i="5"/>
  <c r="V15" i="4"/>
  <c r="Y7" i="4"/>
  <c r="S7" i="4" s="1"/>
  <c r="V19" i="4"/>
  <c r="S19" i="4" s="1"/>
  <c r="Y26" i="4"/>
  <c r="W32" i="4"/>
  <c r="W11" i="4"/>
  <c r="W7" i="4"/>
  <c r="X13" i="4"/>
  <c r="X15" i="4"/>
  <c r="X17" i="4"/>
  <c r="X19" i="4"/>
  <c r="X28" i="4"/>
  <c r="X30" i="4"/>
  <c r="X32" i="4"/>
  <c r="T6" i="5"/>
  <c r="V9" i="4"/>
  <c r="S9" i="4" s="1"/>
  <c r="V7" i="4"/>
  <c r="Y13" i="4"/>
  <c r="Y15" i="4"/>
  <c r="Y17" i="4"/>
  <c r="Y19" i="4"/>
  <c r="Y28" i="4"/>
  <c r="Y30" i="4"/>
  <c r="Y32" i="4"/>
  <c r="Y9" i="4"/>
  <c r="Y22" i="4"/>
  <c r="S22" i="4" s="1"/>
  <c r="S30" i="4"/>
  <c r="U11" i="4"/>
  <c r="S11" i="4" s="1"/>
  <c r="U9" i="4"/>
  <c r="U7" i="4"/>
  <c r="W21" i="4"/>
  <c r="W23" i="4"/>
  <c r="S23" i="4" s="1"/>
  <c r="W25" i="4"/>
  <c r="S10" i="4"/>
  <c r="S12" i="4"/>
  <c r="S8" i="4"/>
  <c r="W6" i="4"/>
  <c r="Y12" i="5"/>
  <c r="V26" i="6"/>
  <c r="U16" i="7"/>
  <c r="T23" i="7"/>
  <c r="T25" i="7"/>
  <c r="X9" i="4"/>
  <c r="Y18" i="5"/>
  <c r="X28" i="5"/>
  <c r="X8" i="6"/>
  <c r="W24" i="6"/>
  <c r="V13" i="7"/>
  <c r="U23" i="7"/>
  <c r="T21" i="5"/>
  <c r="Y8" i="6"/>
  <c r="Y18" i="6"/>
  <c r="Y9" i="7"/>
  <c r="X13" i="7"/>
  <c r="V15" i="5"/>
  <c r="U21" i="5"/>
  <c r="T15" i="6"/>
  <c r="T21" i="6"/>
  <c r="X13" i="5"/>
  <c r="W15" i="5"/>
  <c r="U13" i="7"/>
  <c r="Y9" i="5"/>
  <c r="Y13" i="5"/>
  <c r="W21" i="5"/>
  <c r="W27" i="5"/>
  <c r="W31" i="5"/>
  <c r="V15" i="6"/>
  <c r="V8" i="7"/>
  <c r="V10" i="7"/>
  <c r="X24" i="6"/>
  <c r="X21" i="5"/>
  <c r="W10" i="6"/>
  <c r="W9" i="6"/>
  <c r="W10" i="7"/>
  <c r="T16" i="5"/>
  <c r="X13" i="6"/>
  <c r="X6" i="7"/>
  <c r="W12" i="7"/>
  <c r="U14" i="5"/>
  <c r="T10" i="6"/>
  <c r="Y7" i="6"/>
  <c r="U32" i="5"/>
  <c r="X21" i="7"/>
  <c r="U11" i="6"/>
  <c r="U23" i="6"/>
  <c r="W19" i="7"/>
  <c r="Y8" i="7"/>
  <c r="W8" i="7"/>
  <c r="Y14" i="7"/>
  <c r="X17" i="7"/>
  <c r="X19" i="7"/>
  <c r="W6" i="7"/>
  <c r="Y19" i="7"/>
  <c r="T7" i="7"/>
  <c r="V12" i="7"/>
  <c r="T14" i="7"/>
  <c r="T16" i="7"/>
  <c r="T20" i="7"/>
  <c r="X23" i="7"/>
  <c r="W25" i="7"/>
  <c r="U10" i="7"/>
  <c r="T9" i="7"/>
  <c r="U14" i="7"/>
  <c r="U22" i="7"/>
  <c r="T22" i="7"/>
  <c r="X25" i="7"/>
  <c r="V7" i="7"/>
  <c r="U9" i="7"/>
  <c r="X12" i="7"/>
  <c r="V14" i="7"/>
  <c r="V18" i="7"/>
  <c r="V20" i="7"/>
  <c r="Y25" i="7"/>
  <c r="W7" i="7"/>
  <c r="V9" i="7"/>
  <c r="Y12" i="7"/>
  <c r="W14" i="7"/>
  <c r="W16" i="7"/>
  <c r="W21" i="7"/>
  <c r="T26" i="7"/>
  <c r="X7" i="7"/>
  <c r="U11" i="7"/>
  <c r="X14" i="7"/>
  <c r="X18" i="7"/>
  <c r="X20" i="7"/>
  <c r="W22" i="7"/>
  <c r="U26" i="7"/>
  <c r="X8" i="7"/>
  <c r="Y7" i="7"/>
  <c r="T13" i="7"/>
  <c r="Y18" i="7"/>
  <c r="Y22" i="7"/>
  <c r="V24" i="7"/>
  <c r="V26" i="7"/>
  <c r="T19" i="7"/>
  <c r="T21" i="7"/>
  <c r="W26" i="7"/>
  <c r="V6" i="7"/>
  <c r="T8" i="7"/>
  <c r="X11" i="7"/>
  <c r="U15" i="7"/>
  <c r="U17" i="7"/>
  <c r="U21" i="7"/>
  <c r="V22" i="7"/>
  <c r="X24" i="7"/>
  <c r="X26" i="7"/>
  <c r="W9" i="7"/>
  <c r="U8" i="7"/>
  <c r="T10" i="7"/>
  <c r="W15" i="7"/>
  <c r="V15" i="7"/>
  <c r="V19" i="7"/>
  <c r="V21" i="7"/>
  <c r="Y24" i="7"/>
  <c r="Y21" i="7"/>
  <c r="T6" i="7"/>
  <c r="X10" i="7"/>
  <c r="V11" i="7"/>
  <c r="T12" i="7"/>
  <c r="X16" i="7"/>
  <c r="V17" i="7"/>
  <c r="T18" i="7"/>
  <c r="X22" i="7"/>
  <c r="V23" i="7"/>
  <c r="T24" i="7"/>
  <c r="T11" i="7"/>
  <c r="X15" i="7"/>
  <c r="T17" i="7"/>
  <c r="U6" i="7"/>
  <c r="Y10" i="7"/>
  <c r="W11" i="7"/>
  <c r="U12" i="7"/>
  <c r="Y16" i="7"/>
  <c r="W17" i="7"/>
  <c r="U18" i="7"/>
  <c r="W23" i="7"/>
  <c r="U24" i="7"/>
  <c r="V16" i="7"/>
  <c r="Y17" i="7"/>
  <c r="W18" i="7"/>
  <c r="U19" i="7"/>
  <c r="Y23" i="7"/>
  <c r="W24" i="7"/>
  <c r="U25" i="7"/>
  <c r="Y6" i="7"/>
  <c r="W13" i="7"/>
  <c r="U20" i="7"/>
  <c r="Y13" i="7"/>
  <c r="W20" i="7"/>
  <c r="Y20" i="7"/>
  <c r="Y16" i="6"/>
  <c r="V9" i="6"/>
  <c r="V7" i="6"/>
  <c r="U13" i="6"/>
  <c r="X20" i="6"/>
  <c r="U26" i="6"/>
  <c r="X7" i="6"/>
  <c r="X9" i="6"/>
  <c r="W16" i="6"/>
  <c r="U15" i="6"/>
  <c r="T17" i="6"/>
  <c r="T20" i="6"/>
  <c r="W26" i="6"/>
  <c r="Y11" i="6"/>
  <c r="U19" i="6"/>
  <c r="T23" i="6"/>
  <c r="Y24" i="6"/>
  <c r="X26" i="6"/>
  <c r="T12" i="6"/>
  <c r="Y15" i="6"/>
  <c r="W15" i="6"/>
  <c r="V19" i="6"/>
  <c r="U21" i="6"/>
  <c r="U24" i="6"/>
  <c r="Y26" i="6"/>
  <c r="U10" i="6"/>
  <c r="V13" i="6"/>
  <c r="X15" i="6"/>
  <c r="W19" i="6"/>
  <c r="V21" i="6"/>
  <c r="V25" i="6"/>
  <c r="W6" i="6"/>
  <c r="V8" i="6"/>
  <c r="V10" i="6"/>
  <c r="T16" i="6"/>
  <c r="X19" i="6"/>
  <c r="W21" i="6"/>
  <c r="U25" i="6"/>
  <c r="W8" i="6"/>
  <c r="W12" i="6"/>
  <c r="U17" i="6"/>
  <c r="Y17" i="6"/>
  <c r="Y19" i="6"/>
  <c r="X21" i="6"/>
  <c r="Y9" i="6"/>
  <c r="X6" i="6"/>
  <c r="V14" i="6"/>
  <c r="U16" i="6"/>
  <c r="T13" i="6"/>
  <c r="Y23" i="6"/>
  <c r="W25" i="6"/>
  <c r="Y12" i="6"/>
  <c r="V16" i="6"/>
  <c r="T22" i="6"/>
  <c r="W23" i="6"/>
  <c r="X25" i="6"/>
  <c r="T9" i="6"/>
  <c r="S9" i="6" s="1"/>
  <c r="T11" i="6"/>
  <c r="V20" i="6"/>
  <c r="U22" i="6"/>
  <c r="T26" i="6"/>
  <c r="S26" i="6" s="1"/>
  <c r="Y25" i="6"/>
  <c r="U7" i="6"/>
  <c r="U9" i="6"/>
  <c r="Y14" i="6"/>
  <c r="X18" i="6"/>
  <c r="W18" i="6"/>
  <c r="W22" i="6"/>
  <c r="V22" i="6"/>
  <c r="S15" i="6"/>
  <c r="T6" i="6"/>
  <c r="X10" i="6"/>
  <c r="V11" i="6"/>
  <c r="X16" i="6"/>
  <c r="V17" i="6"/>
  <c r="T18" i="6"/>
  <c r="X22" i="6"/>
  <c r="V23" i="6"/>
  <c r="T24" i="6"/>
  <c r="W11" i="6"/>
  <c r="U18" i="6"/>
  <c r="V6" i="6"/>
  <c r="T7" i="6"/>
  <c r="X11" i="6"/>
  <c r="V12" i="6"/>
  <c r="X17" i="6"/>
  <c r="V18" i="6"/>
  <c r="T19" i="6"/>
  <c r="X23" i="6"/>
  <c r="V24" i="6"/>
  <c r="T25" i="6"/>
  <c r="Y10" i="6"/>
  <c r="U12" i="6"/>
  <c r="W17" i="6"/>
  <c r="T8" i="6"/>
  <c r="Y6" i="6"/>
  <c r="W7" i="6"/>
  <c r="U8" i="6"/>
  <c r="W13" i="6"/>
  <c r="U14" i="6"/>
  <c r="U20" i="6"/>
  <c r="Y13" i="6"/>
  <c r="W20" i="6"/>
  <c r="X14" i="6"/>
  <c r="Y20" i="6"/>
  <c r="Y22" i="6"/>
  <c r="T10" i="5"/>
  <c r="W17" i="5"/>
  <c r="T23" i="5"/>
  <c r="V32" i="5"/>
  <c r="U10" i="5"/>
  <c r="U12" i="5"/>
  <c r="X15" i="5"/>
  <c r="U23" i="5"/>
  <c r="U27" i="5"/>
  <c r="T29" i="5"/>
  <c r="T30" i="5"/>
  <c r="W32" i="5"/>
  <c r="V8" i="5"/>
  <c r="V10" i="5"/>
  <c r="Y15" i="5"/>
  <c r="X19" i="5"/>
  <c r="V21" i="5"/>
  <c r="V27" i="5"/>
  <c r="U29" i="5"/>
  <c r="X32" i="5"/>
  <c r="Y26" i="5"/>
  <c r="W8" i="5"/>
  <c r="W10" i="5"/>
  <c r="Y19" i="5"/>
  <c r="W25" i="5"/>
  <c r="Y32" i="5"/>
  <c r="Y6" i="5"/>
  <c r="X8" i="5"/>
  <c r="V14" i="5"/>
  <c r="U16" i="5"/>
  <c r="U13" i="5"/>
  <c r="W19" i="5"/>
  <c r="X25" i="5"/>
  <c r="X27" i="5"/>
  <c r="W29" i="5"/>
  <c r="Y8" i="5"/>
  <c r="Y10" i="5"/>
  <c r="W14" i="5"/>
  <c r="V16" i="5"/>
  <c r="Y21" i="5"/>
  <c r="Y25" i="5"/>
  <c r="Y27" i="5"/>
  <c r="T33" i="5"/>
  <c r="T9" i="5"/>
  <c r="T11" i="5"/>
  <c r="X14" i="5"/>
  <c r="W16" i="5"/>
  <c r="T22" i="5"/>
  <c r="T28" i="5"/>
  <c r="U33" i="5"/>
  <c r="Y24" i="5"/>
  <c r="U9" i="5"/>
  <c r="U11" i="5"/>
  <c r="Y14" i="5"/>
  <c r="U22" i="5"/>
  <c r="U26" i="5"/>
  <c r="U28" i="5"/>
  <c r="X31" i="5"/>
  <c r="V33" i="5"/>
  <c r="V9" i="5"/>
  <c r="Y16" i="5"/>
  <c r="W20" i="5"/>
  <c r="V22" i="5"/>
  <c r="V26" i="5"/>
  <c r="V28" i="5"/>
  <c r="U30" i="5"/>
  <c r="Y31" i="5"/>
  <c r="W33" i="5"/>
  <c r="T8" i="5"/>
  <c r="X7" i="5"/>
  <c r="W9" i="5"/>
  <c r="W6" i="5"/>
  <c r="T15" i="5"/>
  <c r="S15" i="5" s="1"/>
  <c r="T17" i="5"/>
  <c r="X20" i="5"/>
  <c r="W22" i="5"/>
  <c r="W26" i="5"/>
  <c r="W28" i="5"/>
  <c r="X33" i="5"/>
  <c r="U8" i="5"/>
  <c r="Y7" i="5"/>
  <c r="X9" i="5"/>
  <c r="U15" i="5"/>
  <c r="U17" i="5"/>
  <c r="Y20" i="5"/>
  <c r="X26" i="5"/>
  <c r="Y33" i="5"/>
  <c r="V11" i="5"/>
  <c r="V17" i="5"/>
  <c r="V23" i="5"/>
  <c r="V29" i="5"/>
  <c r="U6" i="5"/>
  <c r="W11" i="5"/>
  <c r="U18" i="5"/>
  <c r="Y22" i="5"/>
  <c r="W23" i="5"/>
  <c r="U24" i="5"/>
  <c r="T12" i="5"/>
  <c r="X16" i="5"/>
  <c r="T18" i="5"/>
  <c r="X22" i="5"/>
  <c r="T24" i="5"/>
  <c r="V6" i="5"/>
  <c r="T7" i="5"/>
  <c r="X11" i="5"/>
  <c r="V12" i="5"/>
  <c r="T13" i="5"/>
  <c r="X17" i="5"/>
  <c r="V18" i="5"/>
  <c r="T19" i="5"/>
  <c r="X23" i="5"/>
  <c r="V24" i="5"/>
  <c r="T25" i="5"/>
  <c r="X29" i="5"/>
  <c r="V30" i="5"/>
  <c r="T31" i="5"/>
  <c r="X10" i="5"/>
  <c r="U7" i="5"/>
  <c r="Y11" i="5"/>
  <c r="W12" i="5"/>
  <c r="Y17" i="5"/>
  <c r="W18" i="5"/>
  <c r="U19" i="5"/>
  <c r="Y23" i="5"/>
  <c r="W24" i="5"/>
  <c r="U25" i="5"/>
  <c r="Y29" i="5"/>
  <c r="W30" i="5"/>
  <c r="U31" i="5"/>
  <c r="X6" i="5"/>
  <c r="V7" i="5"/>
  <c r="X12" i="5"/>
  <c r="V13" i="5"/>
  <c r="T14" i="5"/>
  <c r="X18" i="5"/>
  <c r="V19" i="5"/>
  <c r="T20" i="5"/>
  <c r="X24" i="5"/>
  <c r="V25" i="5"/>
  <c r="T26" i="5"/>
  <c r="X30" i="5"/>
  <c r="V31" i="5"/>
  <c r="T32" i="5"/>
  <c r="S32" i="4"/>
  <c r="S33" i="4"/>
  <c r="S27" i="4"/>
  <c r="S25" i="4"/>
  <c r="S20" i="4"/>
  <c r="S18" i="4"/>
  <c r="S14" i="4"/>
  <c r="S13" i="4"/>
  <c r="S15" i="4"/>
  <c r="S26" i="7" l="1"/>
  <c r="S14" i="7"/>
  <c r="S6" i="4"/>
  <c r="S7" i="7"/>
  <c r="S10" i="5"/>
  <c r="S6" i="5"/>
  <c r="S28" i="5"/>
  <c r="S19" i="7"/>
  <c r="S10" i="7"/>
  <c r="S21" i="6"/>
  <c r="S26" i="5"/>
  <c r="S27" i="5"/>
  <c r="S8" i="5"/>
  <c r="S13" i="6"/>
  <c r="S13" i="7"/>
  <c r="S23" i="5"/>
  <c r="S20" i="5"/>
  <c r="S17" i="5"/>
  <c r="S19" i="6"/>
  <c r="S25" i="7"/>
  <c r="S21" i="5"/>
  <c r="S16" i="6"/>
  <c r="S19" i="5"/>
  <c r="S16" i="7"/>
  <c r="S32" i="5"/>
  <c r="S9" i="5"/>
  <c r="S8" i="7"/>
  <c r="S15" i="7"/>
  <c r="S21" i="7"/>
  <c r="S9" i="7"/>
  <c r="S11" i="7"/>
  <c r="S23" i="7"/>
  <c r="S20" i="7"/>
  <c r="S22" i="7"/>
  <c r="S18" i="7"/>
  <c r="S24" i="7"/>
  <c r="S12" i="7"/>
  <c r="S17" i="7"/>
  <c r="S6" i="7"/>
  <c r="S23" i="6"/>
  <c r="S12" i="6"/>
  <c r="S18" i="6"/>
  <c r="S20" i="6"/>
  <c r="S11" i="6"/>
  <c r="S17" i="6"/>
  <c r="S14" i="6"/>
  <c r="S10" i="6"/>
  <c r="S25" i="6"/>
  <c r="S7" i="6"/>
  <c r="S22" i="6"/>
  <c r="S6" i="6"/>
  <c r="S8" i="6"/>
  <c r="S24" i="6"/>
  <c r="S16" i="5"/>
  <c r="S33" i="5"/>
  <c r="S14" i="5"/>
  <c r="S13" i="5"/>
  <c r="S22" i="5"/>
  <c r="S11" i="5"/>
  <c r="S30" i="5"/>
  <c r="S29" i="5"/>
  <c r="S31" i="5"/>
  <c r="S7" i="5"/>
  <c r="S24" i="5"/>
  <c r="S25" i="5"/>
  <c r="S18" i="5"/>
  <c r="S12" i="5"/>
</calcChain>
</file>

<file path=xl/sharedStrings.xml><?xml version="1.0" encoding="utf-8"?>
<sst xmlns="http://schemas.openxmlformats.org/spreadsheetml/2006/main" count="673" uniqueCount="52">
  <si>
    <t>ncohort</t>
  </si>
  <si>
    <t>utype</t>
  </si>
  <si>
    <t>rtype</t>
  </si>
  <si>
    <t>bd.sel</t>
  </si>
  <si>
    <t>od.sel</t>
  </si>
  <si>
    <t>bd.pts</t>
  </si>
  <si>
    <t>od.pts</t>
  </si>
  <si>
    <t>earlystop</t>
  </si>
  <si>
    <t>overdose</t>
  </si>
  <si>
    <t>poorall</t>
  </si>
  <si>
    <t>design</t>
  </si>
  <si>
    <t>utpi</t>
  </si>
  <si>
    <t>boinet</t>
  </si>
  <si>
    <t>tepi</t>
  </si>
  <si>
    <t>boin12</t>
  </si>
  <si>
    <t>ji3</t>
  </si>
  <si>
    <t>printe</t>
  </si>
  <si>
    <t>stein</t>
  </si>
  <si>
    <t>Grand Total</t>
  </si>
  <si>
    <t>Sum of bd.sel</t>
  </si>
  <si>
    <t>Sum of od.sel</t>
  </si>
  <si>
    <t>Sum of bd.pts</t>
  </si>
  <si>
    <t>Sum of poorall</t>
  </si>
  <si>
    <t>Sum of overdose</t>
  </si>
  <si>
    <t>uTPI</t>
  </si>
  <si>
    <t>BOIN-ET</t>
  </si>
  <si>
    <t>Joint3+3</t>
  </si>
  <si>
    <t>STEIN</t>
  </si>
  <si>
    <t>PRINTE</t>
  </si>
  <si>
    <t>TEPI</t>
  </si>
  <si>
    <t>BOIN12</t>
  </si>
  <si>
    <t>Design</t>
  </si>
  <si>
    <t>OBD Sel%</t>
  </si>
  <si>
    <t>FD Sel%</t>
  </si>
  <si>
    <t>OBD Pts%</t>
  </si>
  <si>
    <t>Poor Pts%</t>
  </si>
  <si>
    <t>ov.sel</t>
  </si>
  <si>
    <t>Sum of ov.sel</t>
  </si>
  <si>
    <t>OV Pts%</t>
  </si>
  <si>
    <t>OV Sel%</t>
  </si>
  <si>
    <t>CompRank</t>
  </si>
  <si>
    <t>efftarget</t>
  </si>
  <si>
    <t>toxtarget</t>
  </si>
  <si>
    <t>comb</t>
  </si>
  <si>
    <t>0.1,0.3</t>
  </si>
  <si>
    <t>0.2,0.2</t>
  </si>
  <si>
    <t>0.2,0.3</t>
  </si>
  <si>
    <t>0.2,0.4</t>
  </si>
  <si>
    <t>0.3,0.3</t>
  </si>
  <si>
    <t>0.4,0.3</t>
  </si>
  <si>
    <t>$\zeta_E$</t>
  </si>
  <si>
    <t>$\phi_T$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</si>
</sst>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0" borderId="0" xfId="0" applyFont="1"/>
    <xf numFmtId="2" fontId="0" fillId="0" borderId="0" xfId="0" applyNumberFormat="1"/>
    <xf numFmtId="2" fontId="18" fillId="0" borderId="0" xfId="0" applyNumberFormat="1" applyFont="1"/>
    <xf numFmtId="0" fontId="18" fillId="0" borderId="0" xfId="0" applyFont="1"/>
    <xf numFmtId="2" fontId="19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l" refreshedDate="44777.491653356483" createdVersion="8" refreshedVersion="8" minRefreshableVersion="3" recordCount="337" xr:uid="{2046AB43-7B43-44BD-8651-B6A57D7740EF}">
  <cacheSource type="worksheet">
    <worksheetSource ref="A1:O513" sheet="simres_sensitivity.csv"/>
  </cacheSource>
  <cacheFields count="15">
    <cacheField name="ncohort" numFmtId="0">
      <sharedItems containsString="0" containsBlank="1" containsNumber="1" containsInteger="1" minValue="12" maxValue="18" count="3">
        <n v="12"/>
        <n v="18"/>
        <m/>
      </sharedItems>
    </cacheField>
    <cacheField name="utype" numFmtId="0">
      <sharedItems containsString="0" containsBlank="1" containsNumber="1" containsInteger="1" minValue="1" maxValue="2" count="3">
        <n v="1"/>
        <n v="2"/>
        <m/>
      </sharedItems>
    </cacheField>
    <cacheField name="rtype" numFmtId="0">
      <sharedItems containsString="0" containsBlank="1" containsNumber="1" containsInteger="1" minValue="1" maxValue="1" count="2">
        <n v="1"/>
        <m/>
      </sharedItems>
    </cacheField>
    <cacheField name="bd.sel" numFmtId="0">
      <sharedItems containsString="0" containsBlank="1" containsNumber="1" minValue="38.965999999999298" maxValue="52.0799999999997"/>
    </cacheField>
    <cacheField name="od.sel" numFmtId="0">
      <sharedItems containsString="0" containsBlank="1" containsNumber="1" minValue="49.096000000001098" maxValue="68.972000000000804"/>
    </cacheField>
    <cacheField name="bd.pts" numFmtId="0">
      <sharedItems containsString="0" containsBlank="1" containsNumber="1" minValue="26.831166666664799" maxValue="45.582333333334297"/>
    </cacheField>
    <cacheField name="od.pts" numFmtId="0">
      <sharedItems containsString="0" containsBlank="1" containsNumber="1" minValue="38.854499999998303" maxValue="57.799333333335497"/>
    </cacheField>
    <cacheField name="earlystop" numFmtId="0">
      <sharedItems containsString="0" containsBlank="1" containsNumber="1" minValue="1.02" maxValue="16.638000000000002"/>
    </cacheField>
    <cacheField name="overdose" numFmtId="0">
      <sharedItems containsString="0" containsBlank="1" containsNumber="1" minValue="0.53966666666666296" maxValue="8.9328333333333703"/>
    </cacheField>
    <cacheField name="poorall" numFmtId="0">
      <sharedItems containsString="0" containsBlank="1" containsNumber="1" minValue="34.2180000000006" maxValue="58.837999999998701"/>
    </cacheField>
    <cacheField name="ov.sel" numFmtId="0">
      <sharedItems containsString="0" containsBlank="1" containsNumber="1" minValue="0.11600000000000001" maxValue="2.7879999999999701"/>
    </cacheField>
    <cacheField name="design" numFmtId="0">
      <sharedItems containsBlank="1" count="8">
        <s v="utpi"/>
        <s v="boinet"/>
        <s v="tepi"/>
        <s v="boin12"/>
        <s v="ji3"/>
        <s v="printe"/>
        <s v="stein"/>
        <m/>
      </sharedItems>
    </cacheField>
    <cacheField name="efftarget" numFmtId="0">
      <sharedItems containsString="0" containsBlank="1" containsNumber="1" minValue="0.1" maxValue="0.4"/>
    </cacheField>
    <cacheField name="toxtarget" numFmtId="0">
      <sharedItems containsString="0" containsBlank="1" containsNumber="1" minValue="0.2" maxValue="0.4"/>
    </cacheField>
    <cacheField name="comb" numFmtId="0">
      <sharedItems containsBlank="1" count="13">
        <s v="0.1,0.2"/>
        <s v="0.1,0.3"/>
        <s v="0.1,0.4"/>
        <s v="0.2,0.2"/>
        <s v="0.2,0.3"/>
        <s v="0.2,0.4"/>
        <s v="0.3,0.2"/>
        <s v="0.3,0.3"/>
        <s v="0.3,0.4"/>
        <s v="0.4,0.2"/>
        <s v="0.4,0.3"/>
        <s v="0.4,0.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7">
  <r>
    <x v="0"/>
    <x v="0"/>
    <x v="0"/>
    <n v="40.763999999999101"/>
    <n v="57.472000000000499"/>
    <n v="33.264999999998402"/>
    <n v="49.086666666665799"/>
    <n v="1.62"/>
    <n v="2.5028333333333501"/>
    <n v="49.9560000000005"/>
    <n v="0.624"/>
    <x v="0"/>
    <n v="0.1"/>
    <n v="0.2"/>
    <x v="0"/>
  </r>
  <r>
    <x v="1"/>
    <x v="0"/>
    <x v="0"/>
    <n v="43.617999999999299"/>
    <n v="60.526000000000501"/>
    <n v="36.307333333332998"/>
    <n v="52.541222222222999"/>
    <n v="2.202"/>
    <n v="2.1331111111111398"/>
    <n v="48.568000000000303"/>
    <n v="0.41799999999999998"/>
    <x v="0"/>
    <n v="0.1"/>
    <n v="0.2"/>
    <x v="0"/>
  </r>
  <r>
    <x v="0"/>
    <x v="1"/>
    <x v="0"/>
    <n v="40.525999999999399"/>
    <n v="54.582000000000797"/>
    <n v="33.012166666664797"/>
    <n v="45.752166666666703"/>
    <n v="1.66"/>
    <n v="2.6461666666666801"/>
    <n v="52.5140000000005"/>
    <n v="1.1319999999999999"/>
    <x v="0"/>
    <n v="0.1"/>
    <n v="0.2"/>
    <x v="0"/>
  </r>
  <r>
    <x v="1"/>
    <x v="1"/>
    <x v="0"/>
    <n v="42.745999999999199"/>
    <n v="57.4400000000009"/>
    <n v="35.824888888888502"/>
    <n v="49.534444444446201"/>
    <n v="2.028"/>
    <n v="2.4003333333333798"/>
    <n v="50.746000000000102"/>
    <n v="0.89800000000000002"/>
    <x v="0"/>
    <n v="0.1"/>
    <n v="0.2"/>
    <x v="0"/>
  </r>
  <r>
    <x v="0"/>
    <x v="0"/>
    <x v="0"/>
    <n v="41.123999999999199"/>
    <n v="57.915999999999997"/>
    <n v="33.191166666664799"/>
    <n v="49.215166666665503"/>
    <n v="1.8180000000000001"/>
    <n v="3.34850000000004"/>
    <n v="50.013999999999498"/>
    <n v="0.68600000000000005"/>
    <x v="1"/>
    <n v="0.1"/>
    <n v="0.2"/>
    <x v="0"/>
  </r>
  <r>
    <x v="1"/>
    <x v="0"/>
    <x v="0"/>
    <n v="43.683999999999102"/>
    <n v="60.937999999999803"/>
    <n v="36.297444444444203"/>
    <n v="52.887555555555899"/>
    <n v="2.37"/>
    <n v="2.8491111111111702"/>
    <n v="47.327999999999101"/>
    <n v="0.35599999999999998"/>
    <x v="1"/>
    <n v="0.1"/>
    <n v="0.2"/>
    <x v="0"/>
  </r>
  <r>
    <x v="0"/>
    <x v="1"/>
    <x v="0"/>
    <n v="41.083999999999698"/>
    <n v="55.954000000000498"/>
    <n v="32.926333333331499"/>
    <n v="47.149666666666803"/>
    <n v="1.736"/>
    <n v="3.4835000000000398"/>
    <n v="50.181999999999498"/>
    <n v="1.3660000000000001"/>
    <x v="1"/>
    <n v="0.1"/>
    <n v="0.2"/>
    <x v="0"/>
  </r>
  <r>
    <x v="1"/>
    <x v="1"/>
    <x v="0"/>
    <n v="43.057999999999602"/>
    <n v="58.746000000000699"/>
    <n v="35.532888888888401"/>
    <n v="50.641888888890399"/>
    <n v="2.3460000000000001"/>
    <n v="2.9005555555556199"/>
    <n v="48.183999999999003"/>
    <n v="0.92600000000000005"/>
    <x v="1"/>
    <n v="0.1"/>
    <n v="0.2"/>
    <x v="0"/>
  </r>
  <r>
    <x v="0"/>
    <x v="0"/>
    <x v="0"/>
    <n v="42.333999999999598"/>
    <n v="61.989999999998297"/>
    <n v="28.253166666664299"/>
    <n v="48.086999999998199"/>
    <n v="1.5820000000000001"/>
    <n v="8.5863333333333909"/>
    <n v="58.837999999998701"/>
    <n v="0.94199999999999995"/>
    <x v="2"/>
    <n v="0.1"/>
    <n v="0.2"/>
    <x v="0"/>
  </r>
  <r>
    <x v="1"/>
    <x v="0"/>
    <x v="0"/>
    <n v="43.697999999999602"/>
    <n v="63.831999999998402"/>
    <n v="31.083666666664602"/>
    <n v="51.1416666666655"/>
    <n v="1.8859999999999999"/>
    <n v="7.5176666666669503"/>
    <n v="55.419999999998701"/>
    <n v="0.56799999999999995"/>
    <x v="2"/>
    <n v="0.1"/>
    <n v="0.2"/>
    <x v="0"/>
  </r>
  <r>
    <x v="0"/>
    <x v="1"/>
    <x v="0"/>
    <n v="42.5760000000001"/>
    <n v="61.487999999999097"/>
    <n v="29.327499999997698"/>
    <n v="51.936833333332103"/>
    <n v="1.58"/>
    <n v="8.9328333333333703"/>
    <n v="56.5519999999986"/>
    <n v="1.8379999999999901"/>
    <x v="2"/>
    <n v="0.1"/>
    <n v="0.2"/>
    <x v="0"/>
  </r>
  <r>
    <x v="1"/>
    <x v="1"/>
    <x v="0"/>
    <n v="43.941999999999801"/>
    <n v="63.239999999999299"/>
    <n v="32.060777777775698"/>
    <n v="55.973777777777499"/>
    <n v="1.976"/>
    <n v="7.6968888888892"/>
    <n v="53.727999999998701"/>
    <n v="1.022"/>
    <x v="2"/>
    <n v="0.1"/>
    <n v="0.2"/>
    <x v="0"/>
  </r>
  <r>
    <x v="0"/>
    <x v="0"/>
    <x v="0"/>
    <n v="40.8099999999991"/>
    <n v="58.456000000000301"/>
    <n v="31.5996666666652"/>
    <n v="47.524666666666"/>
    <n v="1.9119999999999999"/>
    <n v="2.6156666666667099"/>
    <n v="46.248000000000602"/>
    <n v="0.84599999999999997"/>
    <x v="3"/>
    <n v="0.1"/>
    <n v="0.2"/>
    <x v="0"/>
  </r>
  <r>
    <x v="1"/>
    <x v="0"/>
    <x v="0"/>
    <n v="44.133999999998899"/>
    <n v="62.870000000000402"/>
    <n v="34.368777777778099"/>
    <n v="51.055444444444703"/>
    <n v="2.3879999999999999"/>
    <n v="2.3283333333334002"/>
    <n v="42.726000000000198"/>
    <n v="0.68"/>
    <x v="3"/>
    <n v="0.1"/>
    <n v="0.2"/>
    <x v="0"/>
  </r>
  <r>
    <x v="0"/>
    <x v="1"/>
    <x v="0"/>
    <n v="40.927999999999699"/>
    <n v="57.5780000000005"/>
    <n v="31.241833333332099"/>
    <n v="45.297666666666899"/>
    <n v="1.81"/>
    <n v="3.3831666666667299"/>
    <n v="45.256000000000398"/>
    <n v="1.74999999999999"/>
    <x v="3"/>
    <n v="0.1"/>
    <n v="0.2"/>
    <x v="0"/>
  </r>
  <r>
    <x v="1"/>
    <x v="1"/>
    <x v="0"/>
    <n v="44.2819999999994"/>
    <n v="62.360000000000703"/>
    <n v="34.034888888888901"/>
    <n v="48.963222222223102"/>
    <n v="2.3740000000000001"/>
    <n v="3.0064444444445502"/>
    <n v="40.5360000000002"/>
    <n v="1.3640000000000001"/>
    <x v="3"/>
    <n v="0.1"/>
    <n v="0.2"/>
    <x v="0"/>
  </r>
  <r>
    <x v="0"/>
    <x v="0"/>
    <x v="0"/>
    <n v="41.481999999999601"/>
    <n v="58.767999999998899"/>
    <n v="33.598499999997699"/>
    <n v="50.571166666665"/>
    <n v="2.6219999999999999"/>
    <n v="4.2171666666667198"/>
    <n v="51.375999999998399"/>
    <n v="0.69799999999999995"/>
    <x v="4"/>
    <n v="0.1"/>
    <n v="0.2"/>
    <x v="0"/>
  </r>
  <r>
    <x v="1"/>
    <x v="0"/>
    <x v="0"/>
    <n v="43.227999999999298"/>
    <n v="61.101999999999101"/>
    <n v="35.913999999999298"/>
    <n v="53.106000000000201"/>
    <n v="2.97"/>
    <n v="3.7520000000000899"/>
    <n v="50.857999999998498"/>
    <n v="0.32600000000000001"/>
    <x v="4"/>
    <n v="0.1"/>
    <n v="0.2"/>
    <x v="0"/>
  </r>
  <r>
    <x v="0"/>
    <x v="1"/>
    <x v="0"/>
    <n v="41.008000000000003"/>
    <n v="57.021999999999998"/>
    <n v="33.692999999997802"/>
    <n v="49.725166666666297"/>
    <n v="2.512"/>
    <n v="4.4533333333333998"/>
    <n v="50.973999999998398"/>
    <n v="1.41"/>
    <x v="4"/>
    <n v="0.1"/>
    <n v="0.2"/>
    <x v="0"/>
  </r>
  <r>
    <x v="1"/>
    <x v="1"/>
    <x v="0"/>
    <n v="42.333999999999897"/>
    <n v="58.67"/>
    <n v="35.712888888888301"/>
    <n v="52.5120000000015"/>
    <n v="3.016"/>
    <n v="3.9578888888889798"/>
    <n v="50.521999999998499"/>
    <n v="0.85"/>
    <x v="4"/>
    <n v="0.1"/>
    <n v="0.2"/>
    <x v="0"/>
  </r>
  <r>
    <x v="0"/>
    <x v="0"/>
    <x v="0"/>
    <n v="38.965999999999298"/>
    <n v="55.573999999999899"/>
    <n v="31.489999999998101"/>
    <n v="46.932166666665303"/>
    <n v="3.008"/>
    <n v="2.4851666666666898"/>
    <n v="53.783999999999601"/>
    <n v="0.54200000000000004"/>
    <x v="5"/>
    <n v="0.1"/>
    <n v="0.2"/>
    <x v="0"/>
  </r>
  <r>
    <x v="1"/>
    <x v="0"/>
    <x v="0"/>
    <n v="41.625999999999102"/>
    <n v="58.5579999999999"/>
    <n v="33.852555555555199"/>
    <n v="49.494444444444603"/>
    <n v="3.5619999999999998"/>
    <n v="2.2624444444444798"/>
    <n v="52.543999999999102"/>
    <n v="0.34"/>
    <x v="5"/>
    <n v="0.1"/>
    <n v="0.2"/>
    <x v="0"/>
  </r>
  <r>
    <x v="0"/>
    <x v="1"/>
    <x v="0"/>
    <n v="39.049999999999699"/>
    <n v="53.490000000000499"/>
    <n v="31.751166666664801"/>
    <n v="45.187833333333202"/>
    <n v="2.9060000000000001"/>
    <n v="2.6001666666666901"/>
    <n v="53.4119999999998"/>
    <n v="1.1839999999999999"/>
    <x v="5"/>
    <n v="0.1"/>
    <n v="0.2"/>
    <x v="0"/>
  </r>
  <r>
    <x v="1"/>
    <x v="1"/>
    <x v="0"/>
    <n v="40.8359999999998"/>
    <n v="56.0660000000005"/>
    <n v="33.721999999999703"/>
    <n v="48.2631111111126"/>
    <n v="3.556"/>
    <n v="2.3252222222222598"/>
    <n v="52.633999999998899"/>
    <n v="0.83199999999999996"/>
    <x v="5"/>
    <n v="0.1"/>
    <n v="0.2"/>
    <x v="0"/>
  </r>
  <r>
    <x v="0"/>
    <x v="0"/>
    <x v="0"/>
    <n v="41.2579999999991"/>
    <n v="58.272000000000297"/>
    <n v="33.208666666664897"/>
    <n v="49.352333333332503"/>
    <n v="1.8080000000000001"/>
    <n v="2.7601666666666902"/>
    <n v="49.108000000000303"/>
    <n v="0.628"/>
    <x v="6"/>
    <n v="0.1"/>
    <n v="0.2"/>
    <x v="0"/>
  </r>
  <r>
    <x v="1"/>
    <x v="0"/>
    <x v="0"/>
    <n v="44.093999999999198"/>
    <n v="61.3620000000003"/>
    <n v="36.140555555555203"/>
    <n v="52.678444444445297"/>
    <n v="2.6840000000000002"/>
    <n v="2.3061111111111501"/>
    <n v="45.030000000000101"/>
    <n v="0.39200000000000002"/>
    <x v="6"/>
    <n v="0.1"/>
    <n v="0.2"/>
    <x v="0"/>
  </r>
  <r>
    <x v="0"/>
    <x v="1"/>
    <x v="0"/>
    <n v="41.021999999999501"/>
    <n v="55.4860000000008"/>
    <n v="33.0263333333316"/>
    <n v="46.106333333333602"/>
    <n v="1.788"/>
    <n v="2.8585000000000198"/>
    <n v="49.590000000000202"/>
    <n v="1.3280000000000001"/>
    <x v="6"/>
    <n v="0.1"/>
    <n v="0.2"/>
    <x v="0"/>
  </r>
  <r>
    <x v="1"/>
    <x v="1"/>
    <x v="0"/>
    <n v="43.061999999999301"/>
    <n v="58.014000000000898"/>
    <n v="34.948111111110798"/>
    <n v="48.280111111112802"/>
    <n v="2.6179999999999999"/>
    <n v="2.38577777777782"/>
    <n v="46.538000000000203"/>
    <n v="0.91200000000000003"/>
    <x v="6"/>
    <n v="0.1"/>
    <n v="0.2"/>
    <x v="0"/>
  </r>
  <r>
    <x v="0"/>
    <x v="0"/>
    <x v="0"/>
    <n v="43.849999999999199"/>
    <n v="59.255999999999297"/>
    <n v="35.414499999998299"/>
    <n v="51.536499999998803"/>
    <n v="1.238"/>
    <n v="4.4803333333333804"/>
    <n v="42.172000000000097"/>
    <n v="0.88200000000000001"/>
    <x v="0"/>
    <n v="0.1"/>
    <n v="0.3"/>
    <x v="1"/>
  </r>
  <r>
    <x v="1"/>
    <x v="0"/>
    <x v="0"/>
    <n v="46.467999999999201"/>
    <n v="62.867999999999498"/>
    <n v="38.5511111111106"/>
    <n v="54.8554444444448"/>
    <n v="1.476"/>
    <n v="3.5195555555556601"/>
    <n v="43.737999999999701"/>
    <n v="0.56200000000000006"/>
    <x v="0"/>
    <n v="0.1"/>
    <n v="0.3"/>
    <x v="1"/>
  </r>
  <r>
    <x v="0"/>
    <x v="1"/>
    <x v="0"/>
    <n v="42.663999999999596"/>
    <n v="58.720000000000297"/>
    <n v="34.796333333331198"/>
    <n v="50.875333333333202"/>
    <n v="1.1919999999999999"/>
    <n v="4.7173333333334098"/>
    <n v="49.101999999999201"/>
    <n v="1.78999999999999"/>
    <x v="0"/>
    <n v="0.1"/>
    <n v="0.3"/>
    <x v="1"/>
  </r>
  <r>
    <x v="1"/>
    <x v="1"/>
    <x v="0"/>
    <n v="44.995999999999299"/>
    <n v="61.146000000000498"/>
    <n v="38.012555555555203"/>
    <n v="54.1468888888907"/>
    <n v="1.5920000000000001"/>
    <n v="3.8640000000000998"/>
    <n v="47.505999999999197"/>
    <n v="1.31"/>
    <x v="0"/>
    <n v="0.1"/>
    <n v="0.3"/>
    <x v="1"/>
  </r>
  <r>
    <x v="0"/>
    <x v="0"/>
    <x v="0"/>
    <n v="43.3159999999992"/>
    <n v="58.515999999999103"/>
    <n v="35.521833333331202"/>
    <n v="51.363166666664902"/>
    <n v="1.268"/>
    <n v="4.9585000000000496"/>
    <n v="48.7739999999989"/>
    <n v="0.72399999999999998"/>
    <x v="1"/>
    <n v="0.1"/>
    <n v="0.3"/>
    <x v="1"/>
  </r>
  <r>
    <x v="1"/>
    <x v="0"/>
    <x v="0"/>
    <n v="45.721999999999099"/>
    <n v="61.277999999999103"/>
    <n v="38.453333333332999"/>
    <n v="54.159111111111102"/>
    <n v="1.6120000000000001"/>
    <n v="4.2023333333334403"/>
    <n v="47.033999999999203"/>
    <n v="0.43"/>
    <x v="1"/>
    <n v="0.1"/>
    <n v="0.3"/>
    <x v="1"/>
  </r>
  <r>
    <x v="0"/>
    <x v="1"/>
    <x v="0"/>
    <n v="42.685999999999801"/>
    <n v="58.370000000000097"/>
    <n v="35.032666666664603"/>
    <n v="51.478333333333197"/>
    <n v="1.26"/>
    <n v="5.3861666666667203"/>
    <n v="48.781999999998902"/>
    <n v="2.0359999999999898"/>
    <x v="1"/>
    <n v="0.1"/>
    <n v="0.3"/>
    <x v="1"/>
  </r>
  <r>
    <x v="1"/>
    <x v="1"/>
    <x v="0"/>
    <n v="44.645999999999603"/>
    <n v="61.454000000000001"/>
    <n v="37.683333333332897"/>
    <n v="55.244444444446302"/>
    <n v="1.696"/>
    <n v="4.41477777777789"/>
    <n v="47.297999999999199"/>
    <n v="1.3540000000000001"/>
    <x v="1"/>
    <n v="0.1"/>
    <n v="0.3"/>
    <x v="1"/>
  </r>
  <r>
    <x v="0"/>
    <x v="0"/>
    <x v="0"/>
    <n v="43.151999999999298"/>
    <n v="59.779999999997997"/>
    <n v="28.0749999999979"/>
    <n v="44.196499999998103"/>
    <n v="1.3959999999999999"/>
    <n v="7.2461666666666797"/>
    <n v="55.181999999997899"/>
    <n v="0.97799999999999998"/>
    <x v="2"/>
    <n v="0.1"/>
    <n v="0.3"/>
    <x v="1"/>
  </r>
  <r>
    <x v="1"/>
    <x v="0"/>
    <x v="0"/>
    <n v="44.809999999999199"/>
    <n v="62.2479999999982"/>
    <n v="30.638666666664601"/>
    <n v="46.803666666665698"/>
    <n v="1.788"/>
    <n v="6.8496666666668702"/>
    <n v="56.531999999998597"/>
    <n v="0.55800000000000005"/>
    <x v="2"/>
    <n v="0.1"/>
    <n v="0.3"/>
    <x v="1"/>
  </r>
  <r>
    <x v="0"/>
    <x v="1"/>
    <x v="0"/>
    <n v="42.788000000000103"/>
    <n v="61.199999999999299"/>
    <n v="29.1821666666646"/>
    <n v="50.670499999998597"/>
    <n v="1.502"/>
    <n v="7.27233333333335"/>
    <n v="53.013999999998198"/>
    <n v="2.1979999999999902"/>
    <x v="2"/>
    <n v="0.1"/>
    <n v="0.3"/>
    <x v="1"/>
  </r>
  <r>
    <x v="1"/>
    <x v="1"/>
    <x v="0"/>
    <n v="45.089999999999598"/>
    <n v="64.139999999999404"/>
    <n v="32.363333333331198"/>
    <n v="55.499777777777801"/>
    <n v="1.78"/>
    <n v="6.9157777777779801"/>
    <n v="53.665999999998903"/>
    <n v="1.462"/>
    <x v="2"/>
    <n v="0.1"/>
    <n v="0.3"/>
    <x v="1"/>
  </r>
  <r>
    <x v="0"/>
    <x v="0"/>
    <x v="0"/>
    <n v="44.019999999999101"/>
    <n v="59.981999999999097"/>
    <n v="34.410999999998097"/>
    <n v="50.330999999998802"/>
    <n v="1.306"/>
    <n v="4.1380000000001003"/>
    <n v="41.997999999999699"/>
    <n v="0.998"/>
    <x v="3"/>
    <n v="0.1"/>
    <n v="0.3"/>
    <x v="1"/>
  </r>
  <r>
    <x v="1"/>
    <x v="0"/>
    <x v="0"/>
    <n v="47.237999999998799"/>
    <n v="64.075999999999695"/>
    <n v="37.158555555555303"/>
    <n v="53.3562222222222"/>
    <n v="1.78"/>
    <n v="3.3144444444445602"/>
    <n v="39.309999999999597"/>
    <n v="0.74399999999999999"/>
    <x v="3"/>
    <n v="0.1"/>
    <n v="0.3"/>
    <x v="1"/>
  </r>
  <r>
    <x v="0"/>
    <x v="1"/>
    <x v="0"/>
    <n v="43.885999999999797"/>
    <n v="62.669999999999803"/>
    <n v="33.481499999998"/>
    <n v="50.683833333332998"/>
    <n v="1.268"/>
    <n v="5.48750000000007"/>
    <n v="41.497999999999799"/>
    <n v="2.5999999999999801"/>
    <x v="3"/>
    <n v="0.1"/>
    <n v="0.3"/>
    <x v="1"/>
  </r>
  <r>
    <x v="1"/>
    <x v="1"/>
    <x v="0"/>
    <n v="47.045999999999196"/>
    <n v="66.094000000000406"/>
    <n v="36.509555555554897"/>
    <n v="53.356333333334099"/>
    <n v="1.748"/>
    <n v="4.3690000000001703"/>
    <n v="37.522000000000098"/>
    <n v="2.0939999999999901"/>
    <x v="3"/>
    <n v="0.1"/>
    <n v="0.3"/>
    <x v="1"/>
  </r>
  <r>
    <x v="0"/>
    <x v="0"/>
    <x v="0"/>
    <n v="43.433999999999301"/>
    <n v="59.1919999999987"/>
    <n v="35.0109999999978"/>
    <n v="51.178499999998202"/>
    <n v="1.02"/>
    <n v="6.22533333333336"/>
    <n v="49.247999999998797"/>
    <n v="0.76600000000000001"/>
    <x v="4"/>
    <n v="0.1"/>
    <n v="0.3"/>
    <x v="1"/>
  </r>
  <r>
    <x v="1"/>
    <x v="0"/>
    <x v="0"/>
    <n v="45.363999999999201"/>
    <n v="61.681999999998702"/>
    <n v="37.492888888888203"/>
    <n v="53.831666666666401"/>
    <n v="1.228"/>
    <n v="5.5155555555557001"/>
    <n v="48.327999999999001"/>
    <n v="0.49399999999999999"/>
    <x v="4"/>
    <n v="0.1"/>
    <n v="0.3"/>
    <x v="1"/>
  </r>
  <r>
    <x v="0"/>
    <x v="1"/>
    <x v="0"/>
    <n v="43.151999999999902"/>
    <n v="59.847999999999601"/>
    <n v="34.903666666664598"/>
    <n v="52.4686666666666"/>
    <n v="1.1339999999999999"/>
    <n v="6.6248333333333704"/>
    <n v="48.729999999998903"/>
    <n v="2.0779999999999901"/>
    <x v="4"/>
    <n v="0.1"/>
    <n v="0.3"/>
    <x v="1"/>
  </r>
  <r>
    <x v="1"/>
    <x v="1"/>
    <x v="0"/>
    <n v="44.703999999999702"/>
    <n v="62.035999999999603"/>
    <n v="37.240999999999197"/>
    <n v="56.011111111112697"/>
    <n v="1.38"/>
    <n v="5.8896666666668303"/>
    <n v="47.879999999999001"/>
    <n v="1.3660000000000001"/>
    <x v="4"/>
    <n v="0.1"/>
    <n v="0.3"/>
    <x v="1"/>
  </r>
  <r>
    <x v="0"/>
    <x v="0"/>
    <x v="0"/>
    <n v="42.511999999999098"/>
    <n v="57.913999999999398"/>
    <n v="33.527833333331301"/>
    <n v="47.943833333331497"/>
    <n v="1.3879999999999999"/>
    <n v="3.52950000000004"/>
    <n v="51.129999999998802"/>
    <n v="0.68799999999999994"/>
    <x v="5"/>
    <n v="0.1"/>
    <n v="0.3"/>
    <x v="1"/>
  </r>
  <r>
    <x v="1"/>
    <x v="0"/>
    <x v="0"/>
    <n v="44.475999999998997"/>
    <n v="60.489999999999299"/>
    <n v="36.029666666666202"/>
    <n v="50.739111111110802"/>
    <n v="1.67"/>
    <n v="3.2436666666667202"/>
    <n v="49.909999999998597"/>
    <n v="0.40200000000000002"/>
    <x v="5"/>
    <n v="0.1"/>
    <n v="0.3"/>
    <x v="1"/>
  </r>
  <r>
    <x v="0"/>
    <x v="1"/>
    <x v="0"/>
    <n v="41.933999999999799"/>
    <n v="57.748000000000197"/>
    <n v="33.563499999998101"/>
    <n v="48.471333333333298"/>
    <n v="1.498"/>
    <n v="3.6541666666667001"/>
    <n v="50.721999999998701"/>
    <n v="1.9219999999999899"/>
    <x v="5"/>
    <n v="0.1"/>
    <n v="0.3"/>
    <x v="1"/>
  </r>
  <r>
    <x v="1"/>
    <x v="1"/>
    <x v="0"/>
    <n v="44.171999999999699"/>
    <n v="60.800000000000097"/>
    <n v="36.208888888888303"/>
    <n v="52.5510000000018"/>
    <n v="1.788"/>
    <n v="3.4475555555556099"/>
    <n v="49.099999999998801"/>
    <n v="1.3120000000000001"/>
    <x v="5"/>
    <n v="0.1"/>
    <n v="0.3"/>
    <x v="1"/>
  </r>
  <r>
    <x v="0"/>
    <x v="0"/>
    <x v="0"/>
    <n v="42.627999999999197"/>
    <n v="57.762"/>
    <n v="34.2449999999982"/>
    <n v="48.629999999998802"/>
    <n v="1.468"/>
    <n v="2.64283333333334"/>
    <n v="48.398000000000401"/>
    <n v="0.68400000000000005"/>
    <x v="6"/>
    <n v="0.1"/>
    <n v="0.3"/>
    <x v="1"/>
  </r>
  <r>
    <x v="1"/>
    <x v="0"/>
    <x v="0"/>
    <n v="45.271999999999302"/>
    <n v="61.008000000000003"/>
    <n v="37.152777777777501"/>
    <n v="52.099111111111597"/>
    <n v="2.028"/>
    <n v="2.2613333333333601"/>
    <n v="44.932000000000201"/>
    <n v="0.432"/>
    <x v="6"/>
    <n v="0.1"/>
    <n v="0.3"/>
    <x v="1"/>
  </r>
  <r>
    <x v="0"/>
    <x v="1"/>
    <x v="0"/>
    <n v="41.821999999999399"/>
    <n v="56.600000000000797"/>
    <n v="33.566333333331698"/>
    <n v="46.655666666666903"/>
    <n v="1.5780000000000001"/>
    <n v="2.6563333333333401"/>
    <n v="49.300000000000303"/>
    <n v="1.6719999999999899"/>
    <x v="6"/>
    <n v="0.1"/>
    <n v="0.3"/>
    <x v="1"/>
  </r>
  <r>
    <x v="1"/>
    <x v="1"/>
    <x v="0"/>
    <n v="44.485999999999201"/>
    <n v="59.830000000000901"/>
    <n v="36.172111111110802"/>
    <n v="49.7863333333352"/>
    <n v="2.028"/>
    <n v="2.33422222222225"/>
    <n v="46.058"/>
    <n v="1.3140000000000001"/>
    <x v="6"/>
    <n v="0.1"/>
    <n v="0.3"/>
    <x v="1"/>
  </r>
  <r>
    <x v="0"/>
    <x v="0"/>
    <x v="0"/>
    <n v="44.631999999999302"/>
    <n v="58.983999999999298"/>
    <n v="35.132999999998503"/>
    <n v="49.522666666665501"/>
    <n v="1.278"/>
    <n v="3.5756666666667298"/>
    <n v="41.228000000000002"/>
    <n v="0.85599999999999998"/>
    <x v="0"/>
    <n v="0.1"/>
    <n v="0.4"/>
    <x v="2"/>
  </r>
  <r>
    <x v="1"/>
    <x v="0"/>
    <x v="0"/>
    <n v="47.913999999999398"/>
    <n v="62.427999999999599"/>
    <n v="38.363222222221701"/>
    <n v="52.816000000000201"/>
    <n v="1.6"/>
    <n v="2.9123333333333901"/>
    <n v="42.557999999999801"/>
    <n v="0.57599999999999996"/>
    <x v="0"/>
    <n v="0.1"/>
    <n v="0.4"/>
    <x v="2"/>
  </r>
  <r>
    <x v="0"/>
    <x v="1"/>
    <x v="0"/>
    <n v="43.041999999999497"/>
    <n v="58.612000000000599"/>
    <n v="34.649833333331301"/>
    <n v="49.366500000000002"/>
    <n v="1.234"/>
    <n v="3.6378333333333899"/>
    <n v="50.159999999999798"/>
    <n v="2.0239999999999898"/>
    <x v="0"/>
    <n v="0.1"/>
    <n v="0.4"/>
    <x v="2"/>
  </r>
  <r>
    <x v="1"/>
    <x v="1"/>
    <x v="0"/>
    <n v="44.859999999999303"/>
    <n v="61.052000000000398"/>
    <n v="37.212999999999603"/>
    <n v="52.772888888890797"/>
    <n v="1.524"/>
    <n v="3.2306666666667399"/>
    <n v="48.1439999999996"/>
    <n v="1.51599999999999"/>
    <x v="0"/>
    <n v="0.1"/>
    <n v="0.4"/>
    <x v="2"/>
  </r>
  <r>
    <x v="0"/>
    <x v="0"/>
    <x v="0"/>
    <n v="43.557999999999403"/>
    <n v="57.703999999999198"/>
    <n v="35.145499999998002"/>
    <n v="49.096166666664701"/>
    <n v="1.278"/>
    <n v="3.9586666666667201"/>
    <n v="49.057999999998998"/>
    <n v="0.70799999999999996"/>
    <x v="1"/>
    <n v="0.1"/>
    <n v="0.4"/>
    <x v="2"/>
  </r>
  <r>
    <x v="1"/>
    <x v="0"/>
    <x v="0"/>
    <n v="45.869999999999202"/>
    <n v="60.287999999999002"/>
    <n v="37.991888888888703"/>
    <n v="51.914444444444399"/>
    <n v="1.6319999999999999"/>
    <n v="3.7375555555556401"/>
    <n v="47.4899999999991"/>
    <n v="0.47799999999999998"/>
    <x v="1"/>
    <n v="0.1"/>
    <n v="0.4"/>
    <x v="2"/>
  </r>
  <r>
    <x v="0"/>
    <x v="1"/>
    <x v="0"/>
    <n v="42.809999999999803"/>
    <n v="58.857999999999997"/>
    <n v="34.575666666664603"/>
    <n v="50.311666666666703"/>
    <n v="1.3480000000000001"/>
    <n v="4.34850000000006"/>
    <n v="49.031999999998803"/>
    <n v="2.3279999999999799"/>
    <x v="1"/>
    <n v="0.1"/>
    <n v="0.4"/>
    <x v="2"/>
  </r>
  <r>
    <x v="1"/>
    <x v="1"/>
    <x v="0"/>
    <n v="44.955999999999598"/>
    <n v="61.7259999999998"/>
    <n v="37.283111111110699"/>
    <n v="53.953666666668603"/>
    <n v="1.714"/>
    <n v="3.9061111111111901"/>
    <n v="47.459999999999098"/>
    <n v="1.6579999999999899"/>
    <x v="1"/>
    <n v="0.1"/>
    <n v="0.4"/>
    <x v="2"/>
  </r>
  <r>
    <x v="0"/>
    <x v="0"/>
    <x v="0"/>
    <n v="41.893999999999103"/>
    <n v="56.717999999999101"/>
    <n v="27.217333333331499"/>
    <n v="40.637499999998099"/>
    <n v="1.448"/>
    <n v="4.8155000000000197"/>
    <n v="55.761999999997499"/>
    <n v="0.65800000000000003"/>
    <x v="2"/>
    <n v="0.1"/>
    <n v="0.4"/>
    <x v="2"/>
  </r>
  <r>
    <x v="1"/>
    <x v="0"/>
    <x v="0"/>
    <n v="45.5359999999989"/>
    <n v="60.519999999998397"/>
    <n v="30.0072222222202"/>
    <n v="43.315888888887997"/>
    <n v="1.752"/>
    <n v="5.1414444444445504"/>
    <n v="53.771999999998002"/>
    <n v="0.41399999999999998"/>
    <x v="2"/>
    <n v="0.1"/>
    <n v="0.4"/>
    <x v="2"/>
  </r>
  <r>
    <x v="0"/>
    <x v="1"/>
    <x v="0"/>
    <n v="41.729999999999798"/>
    <n v="59.300000000000097"/>
    <n v="28.8781666666648"/>
    <n v="48.204166666665401"/>
    <n v="1.448"/>
    <n v="4.7331666666666896"/>
    <n v="52.987999999998102"/>
    <n v="2.1359999999999899"/>
    <x v="2"/>
    <n v="0.1"/>
    <n v="0.4"/>
    <x v="2"/>
  </r>
  <r>
    <x v="1"/>
    <x v="1"/>
    <x v="0"/>
    <n v="45.293999999999599"/>
    <n v="63.473999999999698"/>
    <n v="31.865999999998198"/>
    <n v="53.255333333333702"/>
    <n v="1.8340000000000001"/>
    <n v="5.2908888888890004"/>
    <n v="50.353999999998599"/>
    <n v="1.5840000000000001"/>
    <x v="2"/>
    <n v="0.1"/>
    <n v="0.4"/>
    <x v="2"/>
  </r>
  <r>
    <x v="0"/>
    <x v="0"/>
    <x v="0"/>
    <n v="43.371999999999296"/>
    <n v="58.047999999999597"/>
    <n v="33.213666666665098"/>
    <n v="47.154499999998798"/>
    <n v="1.3340000000000001"/>
    <n v="3.0161666666667202"/>
    <n v="44.101999999999997"/>
    <n v="1.0620000000000001"/>
    <x v="3"/>
    <n v="0.1"/>
    <n v="0.4"/>
    <x v="2"/>
  </r>
  <r>
    <x v="1"/>
    <x v="0"/>
    <x v="0"/>
    <n v="47.173999999999303"/>
    <n v="62.133999999999901"/>
    <n v="36.282000000000302"/>
    <n v="50.388666666666602"/>
    <n v="1.88"/>
    <n v="2.49977777777785"/>
    <n v="40.921999999999898"/>
    <n v="0.76600000000000001"/>
    <x v="3"/>
    <n v="0.1"/>
    <n v="0.4"/>
    <x v="2"/>
  </r>
  <r>
    <x v="0"/>
    <x v="1"/>
    <x v="0"/>
    <n v="43.815999999999697"/>
    <n v="62.018000000000001"/>
    <n v="32.990666666665"/>
    <n v="48.825666666666699"/>
    <n v="1.4319999999999999"/>
    <n v="4.19900000000011"/>
    <n v="43.614000000000097"/>
    <n v="2.7879999999999701"/>
    <x v="3"/>
    <n v="0.1"/>
    <n v="0.4"/>
    <x v="2"/>
  </r>
  <r>
    <x v="1"/>
    <x v="1"/>
    <x v="0"/>
    <n v="46.697999999999297"/>
    <n v="65.604000000000298"/>
    <n v="35.858555555555299"/>
    <n v="51.817000000000903"/>
    <n v="1.742"/>
    <n v="3.6027777777779102"/>
    <n v="38.549999999999898"/>
    <n v="2.20399999999999"/>
    <x v="3"/>
    <n v="0.1"/>
    <n v="0.4"/>
    <x v="2"/>
  </r>
  <r>
    <x v="0"/>
    <x v="0"/>
    <x v="0"/>
    <n v="44.615999999999197"/>
    <n v="58.729999999998597"/>
    <n v="34.837166666664601"/>
    <n v="49.523833333331503"/>
    <n v="1.0780000000000001"/>
    <n v="5.9066666666666903"/>
    <n v="48.827999999998902"/>
    <n v="0.77200000000000002"/>
    <x v="4"/>
    <n v="0.1"/>
    <n v="0.4"/>
    <x v="2"/>
  </r>
  <r>
    <x v="1"/>
    <x v="0"/>
    <x v="0"/>
    <n v="46.627999999998998"/>
    <n v="61.125999999998399"/>
    <n v="37.433555555555003"/>
    <n v="52.010222222222097"/>
    <n v="1.3220000000000001"/>
    <n v="5.51144444444457"/>
    <n v="47.167999999999203"/>
    <n v="0.48"/>
    <x v="4"/>
    <n v="0.1"/>
    <n v="0.4"/>
    <x v="2"/>
  </r>
  <r>
    <x v="0"/>
    <x v="1"/>
    <x v="0"/>
    <n v="43.8719999999999"/>
    <n v="60.889999999999098"/>
    <n v="34.552666666664599"/>
    <n v="52.265500000000003"/>
    <n v="1.1599999999999999"/>
    <n v="6.6408333333333402"/>
    <n v="48.077999999999001"/>
    <n v="2.69599999999997"/>
    <x v="4"/>
    <n v="0.1"/>
    <n v="0.4"/>
    <x v="2"/>
  </r>
  <r>
    <x v="1"/>
    <x v="1"/>
    <x v="0"/>
    <n v="45.717999999999499"/>
    <n v="62.873999999999398"/>
    <n v="36.9933333333327"/>
    <n v="55.552444444446401"/>
    <n v="1.4039999999999999"/>
    <n v="6.0955555555556904"/>
    <n v="46.305999999999401"/>
    <n v="1.79399999999999"/>
    <x v="4"/>
    <n v="0.1"/>
    <n v="0.4"/>
    <x v="2"/>
  </r>
  <r>
    <x v="0"/>
    <x v="0"/>
    <x v="0"/>
    <n v="43.763999999999299"/>
    <n v="57.817999999999003"/>
    <n v="34.521999999998002"/>
    <n v="48.316166666664699"/>
    <n v="1.206"/>
    <n v="4.3251666666666999"/>
    <n v="49.931999999998602"/>
    <n v="0.68799999999999994"/>
    <x v="5"/>
    <n v="0.1"/>
    <n v="0.4"/>
    <x v="2"/>
  </r>
  <r>
    <x v="1"/>
    <x v="0"/>
    <x v="0"/>
    <n v="46.327999999999101"/>
    <n v="60.637999999998897"/>
    <n v="37.289999999999601"/>
    <n v="50.938777777777602"/>
    <n v="1.4239999999999999"/>
    <n v="4.0731111111111797"/>
    <n v="47.845999999999002"/>
    <n v="0.44400000000000001"/>
    <x v="5"/>
    <n v="0.1"/>
    <n v="0.4"/>
    <x v="2"/>
  </r>
  <r>
    <x v="0"/>
    <x v="1"/>
    <x v="0"/>
    <n v="42.921999999999898"/>
    <n v="59.417999999999701"/>
    <n v="34.154999999997997"/>
    <n v="50.335166666666602"/>
    <n v="1.268"/>
    <n v="4.9050000000000402"/>
    <n v="49.521999999998698"/>
    <n v="2.4119999999999799"/>
    <x v="5"/>
    <n v="0.1"/>
    <n v="0.4"/>
    <x v="2"/>
  </r>
  <r>
    <x v="1"/>
    <x v="1"/>
    <x v="0"/>
    <n v="45.0159999999996"/>
    <n v="61.819999999999602"/>
    <n v="36.674666666666198"/>
    <n v="53.763000000001803"/>
    <n v="1.5660000000000001"/>
    <n v="4.4276666666667497"/>
    <n v="47.439999999999102"/>
    <n v="1.71799999999999"/>
    <x v="5"/>
    <n v="0.1"/>
    <n v="0.4"/>
    <x v="2"/>
  </r>
  <r>
    <x v="0"/>
    <x v="0"/>
    <x v="0"/>
    <n v="44.173999999999403"/>
    <n v="58.163999999999497"/>
    <n v="35.425499999998102"/>
    <n v="49.226999999998398"/>
    <n v="1.27"/>
    <n v="3.2921666666667102"/>
    <n v="47.1520000000001"/>
    <n v="0.68"/>
    <x v="6"/>
    <n v="0.1"/>
    <n v="0.4"/>
    <x v="2"/>
  </r>
  <r>
    <x v="1"/>
    <x v="0"/>
    <x v="0"/>
    <n v="46.899999999999302"/>
    <n v="61.257999999999598"/>
    <n v="38.761999999999802"/>
    <n v="52.604444444444901"/>
    <n v="1.8180000000000001"/>
    <n v="2.8401111111111601"/>
    <n v="42.862000000000002"/>
    <n v="0.46800000000000003"/>
    <x v="6"/>
    <n v="0.1"/>
    <n v="0.4"/>
    <x v="2"/>
  </r>
  <r>
    <x v="0"/>
    <x v="1"/>
    <x v="0"/>
    <n v="43.115999999999502"/>
    <n v="58.7640000000005"/>
    <n v="34.337166666664899"/>
    <n v="48.877500000000197"/>
    <n v="1.32"/>
    <n v="3.6486666666667098"/>
    <n v="47.978000000000002"/>
    <n v="2.23399999999998"/>
    <x v="6"/>
    <n v="0.1"/>
    <n v="0.4"/>
    <x v="2"/>
  </r>
  <r>
    <x v="1"/>
    <x v="1"/>
    <x v="0"/>
    <n v="45.469999999999303"/>
    <n v="61.340000000000302"/>
    <n v="36.812666666666402"/>
    <n v="51.3993333333352"/>
    <n v="1.9219999999999999"/>
    <n v="2.9993333333333898"/>
    <n v="44.261999999999901"/>
    <n v="1.70999999999999"/>
    <x v="6"/>
    <n v="0.1"/>
    <n v="0.4"/>
    <x v="2"/>
  </r>
  <r>
    <x v="0"/>
    <x v="0"/>
    <x v="0"/>
    <n v="42.077999999999399"/>
    <n v="57.528000000000702"/>
    <n v="34.851666666664798"/>
    <n v="49.140666666666"/>
    <n v="3.1219999999999999"/>
    <n v="1.9421666666666599"/>
    <n v="49.928000000000303"/>
    <n v="0.52200000000000002"/>
    <x v="0"/>
    <n v="0.2"/>
    <n v="0.2"/>
    <x v="3"/>
  </r>
  <r>
    <x v="1"/>
    <x v="0"/>
    <x v="0"/>
    <n v="44.913999999999298"/>
    <n v="61.018000000000796"/>
    <n v="37.832888888888803"/>
    <n v="52.762888888889997"/>
    <n v="3.9580000000000002"/>
    <n v="1.7394444444444599"/>
    <n v="48.460000000000299"/>
    <n v="0.36"/>
    <x v="0"/>
    <n v="0.2"/>
    <n v="0.2"/>
    <x v="3"/>
  </r>
  <r>
    <x v="0"/>
    <x v="1"/>
    <x v="0"/>
    <n v="41.271999999999203"/>
    <n v="54.556000000001099"/>
    <n v="34.095499999998097"/>
    <n v="45.819500000000303"/>
    <n v="2.81"/>
    <n v="2.2029999999999998"/>
    <n v="52.430000000000597"/>
    <n v="1.016"/>
    <x v="0"/>
    <n v="0.2"/>
    <n v="0.2"/>
    <x v="3"/>
  </r>
  <r>
    <x v="1"/>
    <x v="1"/>
    <x v="0"/>
    <n v="43.635999999999001"/>
    <n v="57.496000000001203"/>
    <n v="36.816888888888599"/>
    <n v="49.459333333335302"/>
    <n v="3.5579999999999998"/>
    <n v="1.8723333333333601"/>
    <n v="50.664000000000101"/>
    <n v="0.63200000000000001"/>
    <x v="0"/>
    <n v="0.2"/>
    <n v="0.2"/>
    <x v="3"/>
  </r>
  <r>
    <x v="0"/>
    <x v="0"/>
    <x v="0"/>
    <n v="42.227999999999199"/>
    <n v="58.172000000000402"/>
    <n v="34.963166666664598"/>
    <n v="49.878166666665798"/>
    <n v="3.1080000000000001"/>
    <n v="2.43950000000001"/>
    <n v="49.645999999999901"/>
    <n v="0.52200000000000002"/>
    <x v="1"/>
    <n v="0.2"/>
    <n v="0.2"/>
    <x v="3"/>
  </r>
  <r>
    <x v="1"/>
    <x v="0"/>
    <x v="0"/>
    <n v="44.765999999999202"/>
    <n v="60.928000000000303"/>
    <n v="38.069999999999702"/>
    <n v="53.260555555556401"/>
    <n v="4.1219999999999999"/>
    <n v="2.1306666666666998"/>
    <n v="46.9699999999997"/>
    <n v="0.34799999999999998"/>
    <x v="1"/>
    <n v="0.2"/>
    <n v="0.2"/>
    <x v="3"/>
  </r>
  <r>
    <x v="0"/>
    <x v="1"/>
    <x v="0"/>
    <n v="41.969999999999501"/>
    <n v="56.116000000000803"/>
    <n v="34.263166666664702"/>
    <n v="46.7680000000001"/>
    <n v="3.12"/>
    <n v="2.5088333333333401"/>
    <n v="50.555999999999898"/>
    <n v="1.0780000000000001"/>
    <x v="1"/>
    <n v="0.2"/>
    <n v="0.2"/>
    <x v="3"/>
  </r>
  <r>
    <x v="1"/>
    <x v="1"/>
    <x v="0"/>
    <n v="44.145999999999297"/>
    <n v="58.720000000000702"/>
    <n v="37.121999999999602"/>
    <n v="50.343444444446199"/>
    <n v="4.0880000000000001"/>
    <n v="2.1706666666666998"/>
    <n v="48.105999999999497"/>
    <n v="0.69799999999999995"/>
    <x v="1"/>
    <n v="0.2"/>
    <n v="0.2"/>
    <x v="3"/>
  </r>
  <r>
    <x v="0"/>
    <x v="0"/>
    <x v="0"/>
    <n v="42.7599999999996"/>
    <n v="61.985999999998398"/>
    <n v="28.236833333330999"/>
    <n v="47.347333333331598"/>
    <n v="2.6259999999999999"/>
    <n v="8.5570000000000608"/>
    <n v="58.663999999999"/>
    <n v="0.97199999999999998"/>
    <x v="2"/>
    <n v="0.2"/>
    <n v="0.2"/>
    <x v="3"/>
  </r>
  <r>
    <x v="1"/>
    <x v="0"/>
    <x v="0"/>
    <n v="44.7819999999994"/>
    <n v="64.385999999998901"/>
    <n v="31.084999999998001"/>
    <n v="50.361333333332198"/>
    <n v="3.3079999999999998"/>
    <n v="7.5116666666669598"/>
    <n v="55.249999999999098"/>
    <n v="0.47599999999999998"/>
    <x v="2"/>
    <n v="0.2"/>
    <n v="0.2"/>
    <x v="3"/>
  </r>
  <r>
    <x v="0"/>
    <x v="1"/>
    <x v="0"/>
    <n v="43.469999999999899"/>
    <n v="62.497999999999202"/>
    <n v="29.112999999997601"/>
    <n v="51.704499999998603"/>
    <n v="2.6080000000000001"/>
    <n v="8.9026666666667094"/>
    <n v="57.031999999999002"/>
    <n v="1.8159999999999901"/>
    <x v="2"/>
    <n v="0.2"/>
    <n v="0.2"/>
    <x v="3"/>
  </r>
  <r>
    <x v="1"/>
    <x v="1"/>
    <x v="0"/>
    <n v="44.651999999999703"/>
    <n v="64.527999999999295"/>
    <n v="31.931333333331398"/>
    <n v="56.145111111110602"/>
    <n v="3.17"/>
    <n v="7.6333333333336499"/>
    <n v="53.611999999999"/>
    <n v="0.93400000000000005"/>
    <x v="2"/>
    <n v="0.2"/>
    <n v="0.2"/>
    <x v="3"/>
  </r>
  <r>
    <x v="0"/>
    <x v="0"/>
    <x v="0"/>
    <n v="41.695999999999003"/>
    <n v="58.608000000000402"/>
    <n v="32.4761666666653"/>
    <n v="47.452166666666201"/>
    <n v="3.9140000000000001"/>
    <n v="2.3955000000000202"/>
    <n v="45.228000000000499"/>
    <n v="0.8"/>
    <x v="3"/>
    <n v="0.2"/>
    <n v="0.2"/>
    <x v="3"/>
  </r>
  <r>
    <x v="1"/>
    <x v="0"/>
    <x v="0"/>
    <n v="45.4479999999988"/>
    <n v="63.260000000000602"/>
    <n v="35.615111111111702"/>
    <n v="51.261000000000401"/>
    <n v="5.3760000000000003"/>
    <n v="2.1496666666667301"/>
    <n v="41.880000000000202"/>
    <n v="0.60200000000000098"/>
    <x v="3"/>
    <n v="0.2"/>
    <n v="0.2"/>
    <x v="3"/>
  </r>
  <r>
    <x v="0"/>
    <x v="1"/>
    <x v="0"/>
    <n v="42.0619999999995"/>
    <n v="58.914000000000399"/>
    <n v="32.012666666665197"/>
    <n v="46.118166666666802"/>
    <n v="3.5019999999999998"/>
    <n v="3.1636666666667201"/>
    <n v="43.650000000000503"/>
    <n v="1.6119999999999901"/>
    <x v="3"/>
    <n v="0.2"/>
    <n v="0.2"/>
    <x v="3"/>
  </r>
  <r>
    <x v="1"/>
    <x v="1"/>
    <x v="0"/>
    <n v="45.405999999999402"/>
    <n v="63.4100000000007"/>
    <n v="35.103555555555502"/>
    <n v="50.065444444445198"/>
    <n v="4.5940000000000003"/>
    <n v="2.83766666666676"/>
    <n v="39.862000000000002"/>
    <n v="1.212"/>
    <x v="3"/>
    <n v="0.2"/>
    <n v="0.2"/>
    <x v="3"/>
  </r>
  <r>
    <x v="0"/>
    <x v="0"/>
    <x v="0"/>
    <n v="42.779999999999298"/>
    <n v="59.457999999999601"/>
    <n v="35.614333333330997"/>
    <n v="51.237833333331999"/>
    <n v="3.4980000000000002"/>
    <n v="3.2825000000000299"/>
    <n v="49.4539999999988"/>
    <n v="0.56399999999999995"/>
    <x v="4"/>
    <n v="0.2"/>
    <n v="0.2"/>
    <x v="3"/>
  </r>
  <r>
    <x v="1"/>
    <x v="0"/>
    <x v="0"/>
    <n v="44.109999999999197"/>
    <n v="61.165999999999499"/>
    <n v="37.9949999999996"/>
    <n v="54.1750000000008"/>
    <n v="4.3979999999999997"/>
    <n v="2.9276666666667199"/>
    <n v="48.4779999999989"/>
    <n v="0.32"/>
    <x v="4"/>
    <n v="0.2"/>
    <n v="0.2"/>
    <x v="3"/>
  </r>
  <r>
    <x v="0"/>
    <x v="1"/>
    <x v="0"/>
    <n v="42.623999999999697"/>
    <n v="57.282000000000401"/>
    <n v="35.161833333331103"/>
    <n v="49.0131666666664"/>
    <n v="3.5339999999999998"/>
    <n v="3.3678333333333699"/>
    <n v="50.139999999998601"/>
    <n v="1.1779999999999999"/>
    <x v="4"/>
    <n v="0.2"/>
    <n v="0.2"/>
    <x v="3"/>
  </r>
  <r>
    <x v="1"/>
    <x v="1"/>
    <x v="0"/>
    <n v="43.671999999999699"/>
    <n v="59.195999999999998"/>
    <n v="37.195888888888497"/>
    <n v="52.153555555557297"/>
    <n v="4.3760000000000003"/>
    <n v="2.9984444444445"/>
    <n v="49.237999999998799"/>
    <n v="0.82199999999999995"/>
    <x v="4"/>
    <n v="0.2"/>
    <n v="0.2"/>
    <x v="3"/>
  </r>
  <r>
    <x v="0"/>
    <x v="0"/>
    <x v="0"/>
    <n v="40.203999999999198"/>
    <n v="55.5480000000004"/>
    <n v="33.241666666664699"/>
    <n v="47.095999999999101"/>
    <n v="5.21"/>
    <n v="1.8420000000000001"/>
    <n v="53.044000000000203"/>
    <n v="0.42399999999999999"/>
    <x v="5"/>
    <n v="0.2"/>
    <n v="0.2"/>
    <x v="3"/>
  </r>
  <r>
    <x v="1"/>
    <x v="0"/>
    <x v="0"/>
    <n v="42.5199999999993"/>
    <n v="58.132000000000303"/>
    <n v="35.818777777777598"/>
    <n v="50.197222222222997"/>
    <n v="6.3319999999999999"/>
    <n v="1.6440000000000199"/>
    <n v="51.057999999999502"/>
    <n v="0.26600000000000001"/>
    <x v="5"/>
    <n v="0.2"/>
    <n v="0.2"/>
    <x v="3"/>
  </r>
  <r>
    <x v="0"/>
    <x v="1"/>
    <x v="0"/>
    <n v="40.083999999999399"/>
    <n v="53.372000000000703"/>
    <n v="32.928999999997998"/>
    <n v="44.4525000000001"/>
    <n v="5.0439999999999996"/>
    <n v="1.8738333333333299"/>
    <n v="53.704000000000299"/>
    <n v="0.97"/>
    <x v="5"/>
    <n v="0.2"/>
    <n v="0.2"/>
    <x v="3"/>
  </r>
  <r>
    <x v="1"/>
    <x v="1"/>
    <x v="0"/>
    <n v="41.533999999999601"/>
    <n v="55.542000000000598"/>
    <n v="34.579555555555302"/>
    <n v="47.330111111112799"/>
    <n v="5.97"/>
    <n v="1.7017777777778"/>
    <n v="52.673999999999403"/>
    <n v="0.74"/>
    <x v="5"/>
    <n v="0.2"/>
    <n v="0.2"/>
    <x v="3"/>
  </r>
  <r>
    <x v="0"/>
    <x v="0"/>
    <x v="0"/>
    <n v="41.913999999999199"/>
    <n v="57.808000000000703"/>
    <n v="34.852666666664703"/>
    <n v="49.403666666665998"/>
    <n v="4.2220000000000004"/>
    <n v="2.01983333333333"/>
    <n v="49.714000000000297"/>
    <n v="0.51200000000000101"/>
    <x v="6"/>
    <n v="0.2"/>
    <n v="0.2"/>
    <x v="3"/>
  </r>
  <r>
    <x v="1"/>
    <x v="0"/>
    <x v="0"/>
    <n v="44.059999999999398"/>
    <n v="60.214000000000503"/>
    <n v="37.442999999999898"/>
    <n v="52.438222222223402"/>
    <n v="6.1280000000000001"/>
    <n v="1.7486666666666799"/>
    <n v="46.504000000000097"/>
    <n v="0.36199999999999999"/>
    <x v="6"/>
    <n v="0.2"/>
    <n v="0.2"/>
    <x v="3"/>
  </r>
  <r>
    <x v="0"/>
    <x v="1"/>
    <x v="0"/>
    <n v="41.731999999999204"/>
    <n v="54.918000000001001"/>
    <n v="34.250666666664799"/>
    <n v="45.747000000000298"/>
    <n v="3.976"/>
    <n v="2.0731666666666602"/>
    <n v="50.864000000000303"/>
    <n v="0.98399999999999999"/>
    <x v="6"/>
    <n v="0.2"/>
    <n v="0.2"/>
    <x v="3"/>
  </r>
  <r>
    <x v="1"/>
    <x v="1"/>
    <x v="0"/>
    <n v="42.9619999999992"/>
    <n v="56.816000000000997"/>
    <n v="36.115777777777602"/>
    <n v="48.276666666668703"/>
    <n v="5.6820000000000004"/>
    <n v="1.73844444444446"/>
    <n v="48.482000000000099"/>
    <n v="0.72"/>
    <x v="6"/>
    <n v="0.2"/>
    <n v="0.2"/>
    <x v="3"/>
  </r>
  <r>
    <x v="0"/>
    <x v="0"/>
    <x v="0"/>
    <n v="45.409999999999201"/>
    <n v="60.111999999999597"/>
    <n v="37.305166666664803"/>
    <n v="52.071666666665401"/>
    <n v="1.9359999999999999"/>
    <n v="3.67466666666671"/>
    <n v="42.436"/>
    <n v="0.63"/>
    <x v="0"/>
    <n v="0.2"/>
    <n v="0.3"/>
    <x v="4"/>
  </r>
  <r>
    <x v="1"/>
    <x v="0"/>
    <x v="0"/>
    <n v="48.1359999999992"/>
    <n v="63.397999999999897"/>
    <n v="40.501777777777399"/>
    <n v="55.549555555556402"/>
    <n v="2.54"/>
    <n v="2.9887777777778402"/>
    <n v="43.107999999999599"/>
    <n v="0.40799999999999997"/>
    <x v="0"/>
    <n v="0.2"/>
    <n v="0.3"/>
    <x v="4"/>
  </r>
  <r>
    <x v="0"/>
    <x v="1"/>
    <x v="0"/>
    <n v="43.811999999999401"/>
    <n v="58.772000000000702"/>
    <n v="36.600833333331103"/>
    <n v="50.831666666666699"/>
    <n v="1.81"/>
    <n v="3.8008333333333901"/>
    <n v="48.353999999999502"/>
    <n v="1.482"/>
    <x v="0"/>
    <n v="0.2"/>
    <n v="0.3"/>
    <x v="4"/>
  </r>
  <r>
    <x v="1"/>
    <x v="1"/>
    <x v="0"/>
    <n v="46.037999999999101"/>
    <n v="61.294000000000501"/>
    <n v="39.383555555555297"/>
    <n v="54.087777777779898"/>
    <n v="2.2839999999999998"/>
    <n v="3.16666666666673"/>
    <n v="47.289999999999502"/>
    <n v="1.054"/>
    <x v="0"/>
    <n v="0.2"/>
    <n v="0.3"/>
    <x v="4"/>
  </r>
  <r>
    <x v="0"/>
    <x v="0"/>
    <x v="0"/>
    <n v="44.197999999999297"/>
    <n v="58.7239999999994"/>
    <n v="37.636833333330998"/>
    <n v="52.258166666664998"/>
    <n v="2.2240000000000002"/>
    <n v="3.8928333333333902"/>
    <n v="47.589999999999101"/>
    <n v="0.58799999999999997"/>
    <x v="1"/>
    <n v="0.2"/>
    <n v="0.3"/>
    <x v="4"/>
  </r>
  <r>
    <x v="1"/>
    <x v="0"/>
    <x v="0"/>
    <n v="46.5079999999992"/>
    <n v="61.291999999999298"/>
    <n v="40.566222222222102"/>
    <n v="55.386444444445097"/>
    <n v="2.774"/>
    <n v="3.4104444444444999"/>
    <n v="45.9039999999994"/>
    <n v="0.36"/>
    <x v="1"/>
    <n v="0.2"/>
    <n v="0.3"/>
    <x v="4"/>
  </r>
  <r>
    <x v="0"/>
    <x v="1"/>
    <x v="0"/>
    <n v="43.635999999999498"/>
    <n v="58.756000000000299"/>
    <n v="36.544166666664402"/>
    <n v="51.151833333333201"/>
    <n v="2.1160000000000001"/>
    <n v="4.0750000000000597"/>
    <n v="48.873999999998901"/>
    <n v="1.6419999999999899"/>
    <x v="1"/>
    <n v="0.2"/>
    <n v="0.3"/>
    <x v="4"/>
  </r>
  <r>
    <x v="1"/>
    <x v="1"/>
    <x v="0"/>
    <n v="45.801999999999403"/>
    <n v="61.800000000000097"/>
    <n v="39.336111111110903"/>
    <n v="54.918666666668898"/>
    <n v="2.7480000000000002"/>
    <n v="3.3865555555556202"/>
    <n v="46.931999999999199"/>
    <n v="1.0920000000000001"/>
    <x v="1"/>
    <n v="0.2"/>
    <n v="0.3"/>
    <x v="4"/>
  </r>
  <r>
    <x v="0"/>
    <x v="0"/>
    <x v="0"/>
    <n v="43.5379999999993"/>
    <n v="59.4399999999982"/>
    <n v="27.8808333333311"/>
    <n v="43.270166666664899"/>
    <n v="2.548"/>
    <n v="7.2291666666666803"/>
    <n v="55.083999999998099"/>
    <n v="0.91"/>
    <x v="2"/>
    <n v="0.2"/>
    <n v="0.3"/>
    <x v="4"/>
  </r>
  <r>
    <x v="1"/>
    <x v="0"/>
    <x v="0"/>
    <n v="45.641999999999101"/>
    <n v="62.077999999998397"/>
    <n v="30.521222222220299"/>
    <n v="46.082111111110002"/>
    <n v="3.3119999999999998"/>
    <n v="6.9010000000002201"/>
    <n v="55.853999999998898"/>
    <n v="0.53800000000000003"/>
    <x v="2"/>
    <n v="0.2"/>
    <n v="0.3"/>
    <x v="4"/>
  </r>
  <r>
    <x v="0"/>
    <x v="1"/>
    <x v="0"/>
    <n v="43.827999999999903"/>
    <n v="62.449999999999598"/>
    <n v="28.879666666664502"/>
    <n v="50.371999999998501"/>
    <n v="2.456"/>
    <n v="7.2851666666667096"/>
    <n v="53.151999999998402"/>
    <n v="2.01399999999999"/>
    <x v="2"/>
    <n v="0.2"/>
    <n v="0.3"/>
    <x v="4"/>
  </r>
  <r>
    <x v="1"/>
    <x v="1"/>
    <x v="0"/>
    <n v="46.061999999999401"/>
    <n v="65.215999999999497"/>
    <n v="31.954222222220199"/>
    <n v="55.198333333333103"/>
    <n v="3.0419999999999998"/>
    <n v="6.9598888888891199"/>
    <n v="53.491999999999202"/>
    <n v="1.4319999999999999"/>
    <x v="2"/>
    <n v="0.2"/>
    <n v="0.3"/>
    <x v="4"/>
  </r>
  <r>
    <x v="0"/>
    <x v="0"/>
    <x v="0"/>
    <n v="44.969999999998997"/>
    <n v="60.749999999999297"/>
    <n v="35.510666666664697"/>
    <n v="50.7191666666656"/>
    <n v="2.1259999999999999"/>
    <n v="3.7891666666667501"/>
    <n v="40.929999999999701"/>
    <n v="0.84799999999999998"/>
    <x v="3"/>
    <n v="0.2"/>
    <n v="0.3"/>
    <x v="4"/>
  </r>
  <r>
    <x v="1"/>
    <x v="0"/>
    <x v="0"/>
    <n v="48.847999999998798"/>
    <n v="64.83"/>
    <n v="38.730444444444402"/>
    <n v="53.773333333333497"/>
    <n v="3.448"/>
    <n v="3.1225555555556599"/>
    <n v="37.481999999999601"/>
    <n v="0.66400000000000003"/>
    <x v="3"/>
    <n v="0.2"/>
    <n v="0.3"/>
    <x v="4"/>
  </r>
  <r>
    <x v="0"/>
    <x v="1"/>
    <x v="0"/>
    <n v="45.3299999999996"/>
    <n v="64.152000000000001"/>
    <n v="34.586833333331299"/>
    <n v="51.647499999999702"/>
    <n v="1.9079999999999999"/>
    <n v="5.1121666666667798"/>
    <n v="39.110000000000198"/>
    <n v="2.3879999999999799"/>
    <x v="3"/>
    <n v="0.2"/>
    <n v="0.3"/>
    <x v="4"/>
  </r>
  <r>
    <x v="1"/>
    <x v="1"/>
    <x v="0"/>
    <n v="47.979999999999002"/>
    <n v="67.280000000000499"/>
    <n v="37.5562222222214"/>
    <n v="54.482555555556203"/>
    <n v="3"/>
    <n v="4.07488888888905"/>
    <n v="36.8560000000004"/>
    <n v="1.76199999999999"/>
    <x v="3"/>
    <n v="0.2"/>
    <n v="0.3"/>
    <x v="4"/>
  </r>
  <r>
    <x v="0"/>
    <x v="0"/>
    <x v="0"/>
    <n v="44.247999999999202"/>
    <n v="58.931999999999"/>
    <n v="36.881666666664401"/>
    <n v="51.790166666665201"/>
    <n v="1.472"/>
    <n v="4.9146666666667196"/>
    <n v="47.685999999999098"/>
    <n v="0.72199999999999998"/>
    <x v="4"/>
    <n v="0.2"/>
    <n v="0.3"/>
    <x v="4"/>
  </r>
  <r>
    <x v="1"/>
    <x v="0"/>
    <x v="0"/>
    <n v="46.463999999999103"/>
    <n v="61.799999999998903"/>
    <n v="39.7316666666663"/>
    <n v="54.992666666666899"/>
    <n v="2.0099999999999998"/>
    <n v="4.3657777777778604"/>
    <n v="45.823999999999501"/>
    <n v="0.44600000000000001"/>
    <x v="4"/>
    <n v="0.2"/>
    <n v="0.3"/>
    <x v="4"/>
  </r>
  <r>
    <x v="0"/>
    <x v="1"/>
    <x v="0"/>
    <n v="43.739999999999803"/>
    <n v="59.8719999999999"/>
    <n v="36.171999999997901"/>
    <n v="51.811500000000002"/>
    <n v="1.482"/>
    <n v="5.0973333333333901"/>
    <n v="48.209999999998999"/>
    <n v="1.68799999999999"/>
    <x v="4"/>
    <n v="0.2"/>
    <n v="0.3"/>
    <x v="4"/>
  </r>
  <r>
    <x v="1"/>
    <x v="1"/>
    <x v="0"/>
    <n v="45.841999999999402"/>
    <n v="62.937999999999697"/>
    <n v="38.781666666666403"/>
    <n v="55.7395555555577"/>
    <n v="2"/>
    <n v="4.4823333333334201"/>
    <n v="46.617999999999299"/>
    <n v="1.21"/>
    <x v="4"/>
    <n v="0.2"/>
    <n v="0.3"/>
    <x v="4"/>
  </r>
  <r>
    <x v="0"/>
    <x v="0"/>
    <x v="0"/>
    <n v="43.095999999999201"/>
    <n v="57.381999999999699"/>
    <n v="35.130833333331402"/>
    <n v="48.368666666665199"/>
    <n v="2.6219999999999999"/>
    <n v="2.6778333333333402"/>
    <n v="50.145999999999397"/>
    <n v="0.55800000000000005"/>
    <x v="5"/>
    <n v="0.2"/>
    <n v="0.3"/>
    <x v="4"/>
  </r>
  <r>
    <x v="1"/>
    <x v="0"/>
    <x v="0"/>
    <n v="45.125999999999202"/>
    <n v="59.989999999999597"/>
    <n v="37.941888888888499"/>
    <n v="51.744222222222596"/>
    <n v="3.4279999999999999"/>
    <n v="2.5346666666666899"/>
    <n v="48.331999999998999"/>
    <n v="0.40600000000000003"/>
    <x v="5"/>
    <n v="0.2"/>
    <n v="0.3"/>
    <x v="4"/>
  </r>
  <r>
    <x v="0"/>
    <x v="1"/>
    <x v="0"/>
    <n v="42.7599999999996"/>
    <n v="57.924000000000497"/>
    <n v="34.627166666664699"/>
    <n v="47.886000000000003"/>
    <n v="2.6360000000000001"/>
    <n v="2.7228333333333401"/>
    <n v="50.661999999999303"/>
    <n v="1.4379999999999999"/>
    <x v="5"/>
    <n v="0.2"/>
    <n v="0.3"/>
    <x v="4"/>
  </r>
  <r>
    <x v="1"/>
    <x v="1"/>
    <x v="0"/>
    <n v="44.959999999999503"/>
    <n v="60.698000000000199"/>
    <n v="37.281444444443999"/>
    <n v="51.760444444446399"/>
    <n v="3.23"/>
    <n v="2.5522222222222499"/>
    <n v="48.793999999998903"/>
    <n v="1.1180000000000001"/>
    <x v="5"/>
    <n v="0.2"/>
    <n v="0.3"/>
    <x v="4"/>
  </r>
  <r>
    <x v="0"/>
    <x v="0"/>
    <x v="0"/>
    <n v="43.191999999999297"/>
    <n v="57.122000000000199"/>
    <n v="35.681833333331397"/>
    <n v="48.694333333332203"/>
    <n v="3.3039999999999998"/>
    <n v="1.97966666666666"/>
    <n v="48.976000000000397"/>
    <n v="0.59399999999999997"/>
    <x v="6"/>
    <n v="0.2"/>
    <n v="0.3"/>
    <x v="4"/>
  </r>
  <r>
    <x v="1"/>
    <x v="0"/>
    <x v="0"/>
    <n v="45.621999999999296"/>
    <n v="60.236000000000203"/>
    <n v="38.630999999999801"/>
    <n v="52.375555555556502"/>
    <n v="4.6260000000000003"/>
    <n v="1.76233333333334"/>
    <n v="46.360000000000198"/>
    <n v="0.38200000000000001"/>
    <x v="6"/>
    <n v="0.2"/>
    <n v="0.3"/>
    <x v="4"/>
  </r>
  <r>
    <x v="0"/>
    <x v="1"/>
    <x v="0"/>
    <n v="42.521999999999302"/>
    <n v="56.090000000000899"/>
    <n v="34.681833333331497"/>
    <n v="46.420833333333597"/>
    <n v="3.1960000000000002"/>
    <n v="2.0248333333333299"/>
    <n v="50.384000000000299"/>
    <n v="1.208"/>
    <x v="6"/>
    <n v="0.2"/>
    <n v="0.3"/>
    <x v="4"/>
  </r>
  <r>
    <x v="1"/>
    <x v="1"/>
    <x v="0"/>
    <n v="44.825999999998999"/>
    <n v="58.8940000000011"/>
    <n v="37.330888888888701"/>
    <n v="49.7812222222245"/>
    <n v="4.3979999999999997"/>
    <n v="1.77922222222224"/>
    <n v="48.086000000000098"/>
    <n v="1.03"/>
    <x v="6"/>
    <n v="0.2"/>
    <n v="0.3"/>
    <x v="4"/>
  </r>
  <r>
    <x v="0"/>
    <x v="0"/>
    <x v="0"/>
    <n v="46.143999999999401"/>
    <n v="59.6439999999997"/>
    <n v="36.978166666664897"/>
    <n v="50.3171666666655"/>
    <n v="2.0979999999999999"/>
    <n v="3.0321666666667002"/>
    <n v="41.085999999999899"/>
    <n v="0.74"/>
    <x v="0"/>
    <n v="0.2"/>
    <n v="0.4"/>
    <x v="5"/>
  </r>
  <r>
    <x v="1"/>
    <x v="0"/>
    <x v="0"/>
    <n v="49.1599999999993"/>
    <n v="62.959999999999702"/>
    <n v="40.132666666666303"/>
    <n v="53.733333333334102"/>
    <n v="2.74"/>
    <n v="2.6176666666666999"/>
    <n v="41.887999999999899"/>
    <n v="0.57399999999999995"/>
    <x v="0"/>
    <n v="0.2"/>
    <n v="0.4"/>
    <x v="5"/>
  </r>
  <r>
    <x v="0"/>
    <x v="1"/>
    <x v="0"/>
    <n v="43.849999999999199"/>
    <n v="58.714000000000802"/>
    <n v="35.837666666664603"/>
    <n v="49.082333333333303"/>
    <n v="1.956"/>
    <n v="2.8773333333333602"/>
    <n v="50.064"/>
    <n v="1.70399999999999"/>
    <x v="0"/>
    <n v="0.2"/>
    <n v="0.4"/>
    <x v="5"/>
  </r>
  <r>
    <x v="1"/>
    <x v="1"/>
    <x v="0"/>
    <n v="46.285999999999099"/>
    <n v="61.124000000000599"/>
    <n v="38.754444444444303"/>
    <n v="52.700777777779898"/>
    <n v="2.5179999999999998"/>
    <n v="2.58511111111115"/>
    <n v="47.739999999999696"/>
    <n v="1.226"/>
    <x v="0"/>
    <n v="0.2"/>
    <n v="0.4"/>
    <x v="5"/>
  </r>
  <r>
    <x v="0"/>
    <x v="0"/>
    <x v="0"/>
    <n v="45.117999999999498"/>
    <n v="58.389999999999603"/>
    <n v="37.502333333331102"/>
    <n v="50.579333333331597"/>
    <n v="2.206"/>
    <n v="3.0368333333333601"/>
    <n v="47.8919999999993"/>
    <n v="0.66"/>
    <x v="1"/>
    <n v="0.2"/>
    <n v="0.4"/>
    <x v="5"/>
  </r>
  <r>
    <x v="1"/>
    <x v="0"/>
    <x v="0"/>
    <n v="47.021999999999302"/>
    <n v="60.547999999999298"/>
    <n v="40.336888888889"/>
    <n v="53.478444444445103"/>
    <n v="2.976"/>
    <n v="2.8238888888889302"/>
    <n v="45.763999999999498"/>
    <n v="0.442"/>
    <x v="1"/>
    <n v="0.2"/>
    <n v="0.4"/>
    <x v="5"/>
  </r>
  <r>
    <x v="0"/>
    <x v="1"/>
    <x v="0"/>
    <n v="44.203999999999503"/>
    <n v="59.392000000000202"/>
    <n v="36.095333333331197"/>
    <n v="49.936500000000002"/>
    <n v="2.0840000000000001"/>
    <n v="3.28583333333337"/>
    <n v="49.341999999999302"/>
    <n v="1.9159999999999899"/>
    <x v="1"/>
    <n v="0.2"/>
    <n v="0.4"/>
    <x v="5"/>
  </r>
  <r>
    <x v="1"/>
    <x v="1"/>
    <x v="0"/>
    <n v="46.045999999999303"/>
    <n v="61.75"/>
    <n v="38.632222222221998"/>
    <n v="53.496222222224503"/>
    <n v="2.9319999999999999"/>
    <n v="2.97688888888894"/>
    <n v="47.555999999999102"/>
    <n v="1.4019999999999999"/>
    <x v="1"/>
    <n v="0.2"/>
    <n v="0.4"/>
    <x v="5"/>
  </r>
  <r>
    <x v="0"/>
    <x v="0"/>
    <x v="0"/>
    <n v="42.437999999999001"/>
    <n v="56.553999999999199"/>
    <n v="27.166333333331401"/>
    <n v="39.948333333331398"/>
    <n v="3.754"/>
    <n v="4.8075000000000303"/>
    <n v="55.647999999997502"/>
    <n v="0.61799999999999999"/>
    <x v="2"/>
    <n v="0.2"/>
    <n v="0.4"/>
    <x v="5"/>
  </r>
  <r>
    <x v="1"/>
    <x v="0"/>
    <x v="0"/>
    <n v="45.653999999998902"/>
    <n v="60.195999999998598"/>
    <n v="29.425444444442601"/>
    <n v="42.242777777776801"/>
    <n v="4.3479999999999999"/>
    <n v="5.2034444444445596"/>
    <n v="53.7419999999982"/>
    <n v="0.42799999999999999"/>
    <x v="2"/>
    <n v="0.2"/>
    <n v="0.4"/>
    <x v="5"/>
  </r>
  <r>
    <x v="0"/>
    <x v="1"/>
    <x v="0"/>
    <n v="42.301999999999801"/>
    <n v="59.986000000000097"/>
    <n v="28.512666666664799"/>
    <n v="47.833666666665202"/>
    <n v="3.3759999999999999"/>
    <n v="4.6998333333333804"/>
    <n v="53.113999999998001"/>
    <n v="2.0319999999999898"/>
    <x v="2"/>
    <n v="0.2"/>
    <n v="0.4"/>
    <x v="5"/>
  </r>
  <r>
    <x v="1"/>
    <x v="1"/>
    <x v="0"/>
    <n v="45.419999999999597"/>
    <n v="64.187999999999803"/>
    <n v="30.920888888887099"/>
    <n v="52.584444444444699"/>
    <n v="4.1559999999999997"/>
    <n v="5.2193333333334504"/>
    <n v="51.125999999998697"/>
    <n v="1.53"/>
    <x v="2"/>
    <n v="0.2"/>
    <n v="0.4"/>
    <x v="5"/>
  </r>
  <r>
    <x v="0"/>
    <x v="0"/>
    <x v="0"/>
    <n v="45.2519999999992"/>
    <n v="59.215999999999703"/>
    <n v="34.848833333331598"/>
    <n v="48.255333333332104"/>
    <n v="2.6560000000000001"/>
    <n v="2.9641666666667099"/>
    <n v="42.874000000000002"/>
    <n v="0.90600000000000003"/>
    <x v="3"/>
    <n v="0.2"/>
    <n v="0.4"/>
    <x v="5"/>
  </r>
  <r>
    <x v="1"/>
    <x v="0"/>
    <x v="0"/>
    <n v="48.823999999998897"/>
    <n v="63.263999999999903"/>
    <n v="38.006333333333899"/>
    <n v="51.528333333333499"/>
    <n v="3.9460000000000002"/>
    <n v="2.4678888888889601"/>
    <n v="39.182000000000002"/>
    <n v="0.746"/>
    <x v="3"/>
    <n v="0.2"/>
    <n v="0.4"/>
    <x v="5"/>
  </r>
  <r>
    <x v="0"/>
    <x v="1"/>
    <x v="0"/>
    <n v="44.673999999999701"/>
    <n v="63.386000000000102"/>
    <n v="33.9443333333315"/>
    <n v="49.968166666666598"/>
    <n v="2.4159999999999999"/>
    <n v="3.9476666666667599"/>
    <n v="41.380000000000102"/>
    <n v="2.5539999999999798"/>
    <x v="3"/>
    <n v="0.2"/>
    <n v="0.4"/>
    <x v="5"/>
  </r>
  <r>
    <x v="1"/>
    <x v="1"/>
    <x v="0"/>
    <n v="47.301999999999197"/>
    <n v="66.680000000000405"/>
    <n v="36.899555555555096"/>
    <n v="53.213777777778702"/>
    <n v="3.202"/>
    <n v="3.4481111111112202"/>
    <n v="38.093999999999902"/>
    <n v="2.0839999999999899"/>
    <x v="3"/>
    <n v="0.2"/>
    <n v="0.4"/>
    <x v="5"/>
  </r>
  <r>
    <x v="0"/>
    <x v="0"/>
    <x v="0"/>
    <n v="45.719999999999203"/>
    <n v="59.185999999998799"/>
    <n v="37.213999999997903"/>
    <n v="50.991499999998297"/>
    <n v="1.708"/>
    <n v="4.7696666666666898"/>
    <n v="46.539999999999303"/>
    <n v="0.76600000000000001"/>
    <x v="4"/>
    <n v="0.2"/>
    <n v="0.4"/>
    <x v="5"/>
  </r>
  <r>
    <x v="1"/>
    <x v="0"/>
    <x v="0"/>
    <n v="47.813999999999197"/>
    <n v="61.611999999998901"/>
    <n v="40.043888888888802"/>
    <n v="53.743777777778199"/>
    <n v="2.2200000000000002"/>
    <n v="4.37144444444451"/>
    <n v="44.559999999999697"/>
    <n v="0.49"/>
    <x v="4"/>
    <n v="0.2"/>
    <n v="0.4"/>
    <x v="5"/>
  </r>
  <r>
    <x v="0"/>
    <x v="1"/>
    <x v="0"/>
    <n v="44.915999999999599"/>
    <n v="61.365999999999303"/>
    <n v="35.950333333331201"/>
    <n v="51.709333333333298"/>
    <n v="1.69"/>
    <n v="5.0635000000000296"/>
    <n v="47.469999999999096"/>
    <n v="2.2239999999999802"/>
    <x v="4"/>
    <n v="0.2"/>
    <n v="0.4"/>
    <x v="5"/>
  </r>
  <r>
    <x v="1"/>
    <x v="1"/>
    <x v="0"/>
    <n v="46.791999999999298"/>
    <n v="63.601999999999698"/>
    <n v="38.781444444444297"/>
    <n v="55.263111111113403"/>
    <n v="2.1379999999999999"/>
    <n v="4.57966666666674"/>
    <n v="45.193999999999598"/>
    <n v="1.6439999999999899"/>
    <x v="4"/>
    <n v="0.2"/>
    <n v="0.4"/>
    <x v="5"/>
  </r>
  <r>
    <x v="0"/>
    <x v="0"/>
    <x v="0"/>
    <n v="44.9799999999994"/>
    <n v="58.335999999999402"/>
    <n v="36.7981666666645"/>
    <n v="49.867333333331601"/>
    <n v="2.0019999999999998"/>
    <n v="3.39050000000003"/>
    <n v="48.225999999998997"/>
    <n v="0.64800000000000002"/>
    <x v="5"/>
    <n v="0.2"/>
    <n v="0.4"/>
    <x v="5"/>
  </r>
  <r>
    <x v="1"/>
    <x v="0"/>
    <x v="0"/>
    <n v="47.041999999999298"/>
    <n v="60.8279999999993"/>
    <n v="39.383888888888798"/>
    <n v="52.503555555555899"/>
    <n v="2.5419999999999998"/>
    <n v="3.1514444444444898"/>
    <n v="46.057999999999403"/>
    <n v="0.374"/>
    <x v="5"/>
    <n v="0.2"/>
    <n v="0.4"/>
    <x v="5"/>
  </r>
  <r>
    <x v="0"/>
    <x v="1"/>
    <x v="0"/>
    <n v="44.2019999999997"/>
    <n v="59.863999999999997"/>
    <n v="35.548833333331203"/>
    <n v="49.808333333333302"/>
    <n v="1.944"/>
    <n v="3.5806666666667"/>
    <n v="49.205999999998802"/>
    <n v="1.94799999999999"/>
    <x v="5"/>
    <n v="0.2"/>
    <n v="0.4"/>
    <x v="5"/>
  </r>
  <r>
    <x v="1"/>
    <x v="1"/>
    <x v="0"/>
    <n v="46.081999999999397"/>
    <n v="62.395999999999901"/>
    <n v="38.107666666666503"/>
    <n v="53.424000000002202"/>
    <n v="2.5019999999999998"/>
    <n v="3.2930000000000499"/>
    <n v="46.923999999999303"/>
    <n v="1.538"/>
    <x v="5"/>
    <n v="0.2"/>
    <n v="0.4"/>
    <x v="5"/>
  </r>
  <r>
    <x v="0"/>
    <x v="0"/>
    <x v="0"/>
    <n v="44.937999999999498"/>
    <n v="58.083999999999698"/>
    <n v="37.362166666664599"/>
    <n v="50.246333333331897"/>
    <n v="3.0459999999999998"/>
    <n v="2.6190000000000202"/>
    <n v="46.886000000000003"/>
    <n v="0.61399999999999999"/>
    <x v="6"/>
    <n v="0.2"/>
    <n v="0.4"/>
    <x v="5"/>
  </r>
  <r>
    <x v="1"/>
    <x v="0"/>
    <x v="0"/>
    <n v="47.175999999999398"/>
    <n v="60.7139999999997"/>
    <n v="40.196222222222097"/>
    <n v="53.217666666667398"/>
    <n v="4.2539999999999996"/>
    <n v="2.2275555555555799"/>
    <n v="43.832000000000001"/>
    <n v="0.36799999999999999"/>
    <x v="6"/>
    <n v="0.2"/>
    <n v="0.4"/>
    <x v="5"/>
  </r>
  <r>
    <x v="0"/>
    <x v="1"/>
    <x v="0"/>
    <n v="43.6539999999994"/>
    <n v="58.530000000000598"/>
    <n v="35.545166666664599"/>
    <n v="48.722666666666697"/>
    <n v="2.8919999999999999"/>
    <n v="2.7405000000000199"/>
    <n v="49.211999999999797"/>
    <n v="1.69999999999999"/>
    <x v="6"/>
    <n v="0.2"/>
    <n v="0.4"/>
    <x v="5"/>
  </r>
  <r>
    <x v="1"/>
    <x v="1"/>
    <x v="0"/>
    <n v="45.801999999999097"/>
    <n v="60.924000000000703"/>
    <n v="38.307333333333098"/>
    <n v="51.7842222222244"/>
    <n v="4.0720000000000001"/>
    <n v="2.3016666666667001"/>
    <n v="45.961999999999897"/>
    <n v="1.3560000000000001"/>
    <x v="6"/>
    <n v="0.2"/>
    <n v="0.4"/>
    <x v="5"/>
  </r>
  <r>
    <x v="0"/>
    <x v="0"/>
    <x v="0"/>
    <n v="43.6839999999996"/>
    <n v="57.992000000001099"/>
    <n v="36.629499999998501"/>
    <n v="49.609499999999699"/>
    <n v="5.8319999999999999"/>
    <n v="1.4386666666666601"/>
    <n v="49.958000000000503"/>
    <n v="0.39800000000000002"/>
    <x v="0"/>
    <n v="0.3"/>
    <n v="0.2"/>
    <x v="6"/>
  </r>
  <r>
    <x v="1"/>
    <x v="0"/>
    <x v="0"/>
    <n v="45.767999999999702"/>
    <n v="60.420000000000996"/>
    <n v="39.475777777777999"/>
    <n v="53.0188888888907"/>
    <n v="7.2460000000000004"/>
    <n v="1.2602222222222199"/>
    <n v="48.8200000000001"/>
    <n v="0.25600000000000001"/>
    <x v="0"/>
    <n v="0.3"/>
    <n v="0.2"/>
    <x v="6"/>
  </r>
  <r>
    <x v="0"/>
    <x v="1"/>
    <x v="0"/>
    <n v="42.691999999999403"/>
    <n v="54.408000000001302"/>
    <n v="35.746999999998501"/>
    <n v="45.753000000000398"/>
    <n v="5.3120000000000003"/>
    <n v="1.4944999999999999"/>
    <n v="52.188000000000798"/>
    <n v="0.754"/>
    <x v="0"/>
    <n v="0.3"/>
    <n v="0.2"/>
    <x v="6"/>
  </r>
  <r>
    <x v="1"/>
    <x v="1"/>
    <x v="0"/>
    <n v="44.733999999999298"/>
    <n v="57.258000000001303"/>
    <n v="38.542444444444499"/>
    <n v="49.723222222224599"/>
    <n v="6.532"/>
    <n v="1.2972222222222201"/>
    <n v="50.255999999999901"/>
    <n v="0.44"/>
    <x v="0"/>
    <n v="0.3"/>
    <n v="0.2"/>
    <x v="6"/>
  </r>
  <r>
    <x v="0"/>
    <x v="0"/>
    <x v="0"/>
    <n v="43.427999999999599"/>
    <n v="57.990000000000798"/>
    <n v="36.932333333331599"/>
    <n v="50.037833333332898"/>
    <n v="6.048"/>
    <n v="1.5953333333333299"/>
    <n v="50.229999999999897"/>
    <n v="0.4"/>
    <x v="1"/>
    <n v="0.3"/>
    <n v="0.2"/>
    <x v="6"/>
  </r>
  <r>
    <x v="1"/>
    <x v="0"/>
    <x v="0"/>
    <n v="45.255999999999702"/>
    <n v="60.092000000000397"/>
    <n v="39.642555555555703"/>
    <n v="53.472222222223998"/>
    <n v="7.5640000000000001"/>
    <n v="1.33988888888889"/>
    <n v="48.081999999999603"/>
    <n v="0.224"/>
    <x v="1"/>
    <n v="0.3"/>
    <n v="0.2"/>
    <x v="6"/>
  </r>
  <r>
    <x v="0"/>
    <x v="1"/>
    <x v="0"/>
    <n v="42.535999999999298"/>
    <n v="54.7840000000012"/>
    <n v="35.640333333331597"/>
    <n v="46.033500000000302"/>
    <n v="6.0119999999999996"/>
    <n v="1.6014999999999899"/>
    <n v="52.238000000000198"/>
    <n v="0.72"/>
    <x v="1"/>
    <n v="0.3"/>
    <n v="0.2"/>
    <x v="6"/>
  </r>
  <r>
    <x v="1"/>
    <x v="1"/>
    <x v="0"/>
    <n v="44.047999999999298"/>
    <n v="56.396000000001003"/>
    <n v="38.146666666666803"/>
    <n v="49.021444444446601"/>
    <n v="7.13"/>
    <n v="1.32233333333333"/>
    <n v="50.1079999999994"/>
    <n v="0.52"/>
    <x v="1"/>
    <n v="0.3"/>
    <n v="0.2"/>
    <x v="6"/>
  </r>
  <r>
    <x v="0"/>
    <x v="0"/>
    <x v="0"/>
    <n v="43.459999999999603"/>
    <n v="62.177999999998598"/>
    <n v="28.226333333330899"/>
    <n v="47.177666666665097"/>
    <n v="5.07"/>
    <n v="8.3373333333334205"/>
    <n v="58.003999999999301"/>
    <n v="0.85799999999999998"/>
    <x v="2"/>
    <n v="0.3"/>
    <n v="0.2"/>
    <x v="6"/>
  </r>
  <r>
    <x v="1"/>
    <x v="0"/>
    <x v="0"/>
    <n v="45.091999999999402"/>
    <n v="64.183999999998903"/>
    <n v="31.318222222220299"/>
    <n v="50.429333333332302"/>
    <n v="5.96"/>
    <n v="7.1514444444447296"/>
    <n v="54.537999999999002"/>
    <n v="0.42399999999999999"/>
    <x v="2"/>
    <n v="0.3"/>
    <n v="0.2"/>
    <x v="6"/>
  </r>
  <r>
    <x v="0"/>
    <x v="1"/>
    <x v="0"/>
    <n v="43.851999999999897"/>
    <n v="62.887999999999401"/>
    <n v="29.113666666664301"/>
    <n v="51.759999999998598"/>
    <n v="4.7880000000000003"/>
    <n v="8.5845000000000606"/>
    <n v="56.479999999999201"/>
    <n v="1.6419999999999999"/>
    <x v="2"/>
    <n v="0.3"/>
    <n v="0.2"/>
    <x v="6"/>
  </r>
  <r>
    <x v="1"/>
    <x v="1"/>
    <x v="0"/>
    <n v="44.863999999999599"/>
    <n v="64.395999999999603"/>
    <n v="31.996111111109201"/>
    <n v="55.892888888888201"/>
    <n v="5.5919999999999996"/>
    <n v="7.2192222222225304"/>
    <n v="53.515999999999003"/>
    <n v="0.84"/>
    <x v="2"/>
    <n v="0.3"/>
    <n v="0.2"/>
    <x v="6"/>
  </r>
  <r>
    <x v="0"/>
    <x v="0"/>
    <x v="0"/>
    <n v="41.383999999999098"/>
    <n v="57.478000000000499"/>
    <n v="33.026499999998499"/>
    <n v="46.946333333333101"/>
    <n v="11.534000000000001"/>
    <n v="2.0568333333333402"/>
    <n v="46.010000000000602"/>
    <n v="0.65800000000000003"/>
    <x v="3"/>
    <n v="0.3"/>
    <n v="0.2"/>
    <x v="6"/>
  </r>
  <r>
    <x v="1"/>
    <x v="0"/>
    <x v="0"/>
    <n v="44.483999999999"/>
    <n v="60.8560000000003"/>
    <n v="36.010000000000602"/>
    <n v="50.396555555556198"/>
    <n v="13.114000000000001"/>
    <n v="1.8465555555555999"/>
    <n v="43.16"/>
    <n v="0.502"/>
    <x v="3"/>
    <n v="0.3"/>
    <n v="0.2"/>
    <x v="6"/>
  </r>
  <r>
    <x v="0"/>
    <x v="1"/>
    <x v="0"/>
    <n v="41.161999999999701"/>
    <n v="57.664000000000499"/>
    <n v="32.315166666665199"/>
    <n v="45.730166666666697"/>
    <n v="10.736000000000001"/>
    <n v="2.7473333333333598"/>
    <n v="44.556000000000402"/>
    <n v="1.3660000000000001"/>
    <x v="3"/>
    <n v="0.3"/>
    <n v="0.2"/>
    <x v="6"/>
  </r>
  <r>
    <x v="1"/>
    <x v="1"/>
    <x v="0"/>
    <n v="44.149999999999501"/>
    <n v="61.390000000000498"/>
    <n v="35.560666666666897"/>
    <n v="49.651666666667701"/>
    <n v="11.85"/>
    <n v="2.5042222222222899"/>
    <n v="41.125999999999799"/>
    <n v="1.05"/>
    <x v="3"/>
    <n v="0.3"/>
    <n v="0.2"/>
    <x v="6"/>
  </r>
  <r>
    <x v="0"/>
    <x v="0"/>
    <x v="0"/>
    <n v="43.779999999999397"/>
    <n v="59.068000000000197"/>
    <n v="37.247499999997601"/>
    <n v="51.389499999999103"/>
    <n v="6.1239999999999997"/>
    <n v="2.1363333333333299"/>
    <n v="49.593999999999198"/>
    <n v="0.41199999999999998"/>
    <x v="4"/>
    <n v="0.3"/>
    <n v="0.2"/>
    <x v="6"/>
  </r>
  <r>
    <x v="1"/>
    <x v="0"/>
    <x v="0"/>
    <n v="45.497999999999301"/>
    <n v="60.954000000000001"/>
    <n v="40.219444444444399"/>
    <n v="54.900666666668201"/>
    <n v="7.2060000000000004"/>
    <n v="1.9003333333333501"/>
    <n v="47.655999999999104"/>
    <n v="0.248"/>
    <x v="4"/>
    <n v="0.3"/>
    <n v="0.2"/>
    <x v="6"/>
  </r>
  <r>
    <x v="0"/>
    <x v="1"/>
    <x v="0"/>
    <n v="43.211999999999399"/>
    <n v="56.466000000000797"/>
    <n v="36.590999999997798"/>
    <n v="48.347499999999897"/>
    <n v="5.8659999999999997"/>
    <n v="2.2370000000000001"/>
    <n v="50.409999999999201"/>
    <n v="0.88400000000000001"/>
    <x v="4"/>
    <n v="0.3"/>
    <n v="0.2"/>
    <x v="6"/>
  </r>
  <r>
    <x v="1"/>
    <x v="1"/>
    <x v="0"/>
    <n v="44.757999999999299"/>
    <n v="58.2820000000007"/>
    <n v="39.046666666666503"/>
    <n v="51.452111111113197"/>
    <n v="6.7759999999999998"/>
    <n v="1.8792222222222399"/>
    <n v="49.129999999999001"/>
    <n v="0.57799999999999996"/>
    <x v="4"/>
    <n v="0.3"/>
    <n v="0.2"/>
    <x v="6"/>
  </r>
  <r>
    <x v="0"/>
    <x v="0"/>
    <x v="0"/>
    <n v="40.093999999999703"/>
    <n v="53.670000000000698"/>
    <n v="33.964666666665103"/>
    <n v="46.185666666666101"/>
    <n v="11.968"/>
    <n v="1.16749999999999"/>
    <n v="54.854000000000703"/>
    <n v="0.29799999999999999"/>
    <x v="5"/>
    <n v="0.3"/>
    <n v="0.2"/>
    <x v="6"/>
  </r>
  <r>
    <x v="1"/>
    <x v="0"/>
    <x v="0"/>
    <n v="41.973999999999599"/>
    <n v="55.9220000000007"/>
    <n v="36.367333333333399"/>
    <n v="49.234888888890403"/>
    <n v="13.186"/>
    <n v="1.0497777777777799"/>
    <n v="53.183999999999997"/>
    <n v="0.22600000000000001"/>
    <x v="5"/>
    <n v="0.3"/>
    <n v="0.2"/>
    <x v="6"/>
  </r>
  <r>
    <x v="0"/>
    <x v="1"/>
    <x v="0"/>
    <n v="39.109999999999303"/>
    <n v="50.616000000000902"/>
    <n v="33.214666666665202"/>
    <n v="42.714833333333502"/>
    <n v="11.603999999999999"/>
    <n v="1.2086666666666599"/>
    <n v="56.194000000000898"/>
    <n v="0.73199999999999998"/>
    <x v="5"/>
    <n v="0.3"/>
    <n v="0.2"/>
    <x v="6"/>
  </r>
  <r>
    <x v="1"/>
    <x v="1"/>
    <x v="0"/>
    <n v="40.727999999999398"/>
    <n v="52.664000000001003"/>
    <n v="35.242000000000097"/>
    <n v="45.489222222224299"/>
    <n v="12.6"/>
    <n v="1.0117777777777801"/>
    <n v="54.724000000000103"/>
    <n v="0.44800000000000001"/>
    <x v="5"/>
    <n v="0.3"/>
    <n v="0.2"/>
    <x v="6"/>
  </r>
  <r>
    <x v="0"/>
    <x v="0"/>
    <x v="0"/>
    <n v="40.9699999999997"/>
    <n v="54.820000000000803"/>
    <n v="35.520166666665098"/>
    <n v="48.213333333332699"/>
    <n v="12.55"/>
    <n v="1.3111666666666599"/>
    <n v="52.644000000000602"/>
    <n v="0.33200000000000002"/>
    <x v="6"/>
    <n v="0.3"/>
    <n v="0.2"/>
    <x v="6"/>
  </r>
  <r>
    <x v="1"/>
    <x v="0"/>
    <x v="0"/>
    <n v="42.355999999999902"/>
    <n v="56.412000000000702"/>
    <n v="37.525111111111201"/>
    <n v="50.6852222222238"/>
    <n v="14.946"/>
    <n v="1.07544444444444"/>
    <n v="50.89"/>
    <n v="0.23400000000000001"/>
    <x v="6"/>
    <n v="0.3"/>
    <n v="0.2"/>
    <x v="6"/>
  </r>
  <r>
    <x v="0"/>
    <x v="1"/>
    <x v="0"/>
    <n v="40.115999999999502"/>
    <n v="51.5100000000009"/>
    <n v="34.353666666665198"/>
    <n v="44.0836666666669"/>
    <n v="11.89"/>
    <n v="1.36466666666666"/>
    <n v="54.188000000000699"/>
    <n v="0.70799999999999996"/>
    <x v="6"/>
    <n v="0.3"/>
    <n v="0.2"/>
    <x v="6"/>
  </r>
  <r>
    <x v="1"/>
    <x v="1"/>
    <x v="0"/>
    <n v="41.019999999999598"/>
    <n v="52.6260000000009"/>
    <n v="36.262444444444597"/>
    <n v="46.482888888891097"/>
    <n v="14.25"/>
    <n v="1.06277777777778"/>
    <n v="52.710000000000299"/>
    <n v="0.44800000000000001"/>
    <x v="6"/>
    <n v="0.3"/>
    <n v="0.2"/>
    <x v="6"/>
  </r>
  <r>
    <x v="0"/>
    <x v="0"/>
    <x v="0"/>
    <n v="46.535999999999497"/>
    <n v="60.625999999999998"/>
    <n v="39.370999999997998"/>
    <n v="53.087999999998999"/>
    <n v="3.302"/>
    <n v="2.8270000000000199"/>
    <n v="42.7079999999997"/>
    <n v="0.54"/>
    <x v="0"/>
    <n v="0.3"/>
    <n v="0.3"/>
    <x v="7"/>
  </r>
  <r>
    <x v="1"/>
    <x v="0"/>
    <x v="0"/>
    <n v="49.875999999999401"/>
    <n v="64.150000000000006"/>
    <n v="42.949111111111201"/>
    <n v="56.971111111112698"/>
    <n v="4.43"/>
    <n v="2.3524444444444601"/>
    <n v="42.549999999999599"/>
    <n v="0.38400000000000001"/>
    <x v="0"/>
    <n v="0.3"/>
    <n v="0.3"/>
    <x v="7"/>
  </r>
  <r>
    <x v="0"/>
    <x v="1"/>
    <x v="0"/>
    <n v="45.253999999999202"/>
    <n v="58.528000000001001"/>
    <n v="38.280833333331103"/>
    <n v="50.559166666666599"/>
    <n v="3.0920000000000001"/>
    <n v="2.66933333333334"/>
    <n v="48.185999999999503"/>
    <n v="1.0580000000000001"/>
    <x v="0"/>
    <n v="0.3"/>
    <n v="0.3"/>
    <x v="7"/>
  </r>
  <r>
    <x v="1"/>
    <x v="1"/>
    <x v="0"/>
    <n v="47.391999999999001"/>
    <n v="61.482000000001001"/>
    <n v="41.1587777777778"/>
    <n v="54.310444444446901"/>
    <n v="3.89"/>
    <n v="2.3542222222222402"/>
    <n v="47.109999999999403"/>
    <n v="0.77600000000000002"/>
    <x v="0"/>
    <n v="0.3"/>
    <n v="0.3"/>
    <x v="7"/>
  </r>
  <r>
    <x v="0"/>
    <x v="0"/>
    <x v="0"/>
    <n v="45.627999999999702"/>
    <n v="59.311999999999998"/>
    <n v="40.146666666664203"/>
    <n v="53.4226666666653"/>
    <n v="3.9460000000000002"/>
    <n v="2.7138333333333402"/>
    <n v="46.759999999999202"/>
    <n v="0.46"/>
    <x v="1"/>
    <n v="0.3"/>
    <n v="0.3"/>
    <x v="7"/>
  </r>
  <r>
    <x v="1"/>
    <x v="0"/>
    <x v="0"/>
    <n v="47.259999999999302"/>
    <n v="61.531999999999698"/>
    <n v="42.487555555555701"/>
    <n v="56.421777777779297"/>
    <n v="4.8360000000000003"/>
    <n v="2.2607777777778"/>
    <n v="45.879999999999399"/>
    <n v="0.27600000000000002"/>
    <x v="1"/>
    <n v="0.3"/>
    <n v="0.3"/>
    <x v="7"/>
  </r>
  <r>
    <x v="0"/>
    <x v="1"/>
    <x v="0"/>
    <n v="44.627999999999197"/>
    <n v="57.938000000000699"/>
    <n v="38.221499999997597"/>
    <n v="50.562833333333202"/>
    <n v="3.74"/>
    <n v="2.7743333333333502"/>
    <n v="49.285999999999198"/>
    <n v="1.202"/>
    <x v="1"/>
    <n v="0.3"/>
    <n v="0.3"/>
    <x v="7"/>
  </r>
  <r>
    <x v="1"/>
    <x v="1"/>
    <x v="0"/>
    <n v="46.247999999999102"/>
    <n v="60.306000000000601"/>
    <n v="40.752666666666599"/>
    <n v="53.947000000002603"/>
    <n v="4.82"/>
    <n v="2.17822222222224"/>
    <n v="48.097999999998997"/>
    <n v="0.78800000000000003"/>
    <x v="1"/>
    <n v="0.3"/>
    <n v="0.3"/>
    <x v="7"/>
  </r>
  <r>
    <x v="0"/>
    <x v="0"/>
    <x v="0"/>
    <n v="43.755999999999297"/>
    <n v="59.063999999998401"/>
    <n v="27.804499999997802"/>
    <n v="42.962666666665001"/>
    <n v="6.4180000000000001"/>
    <n v="7.0510000000000197"/>
    <n v="54.937999999998297"/>
    <n v="0.88800000000000001"/>
    <x v="2"/>
    <n v="0.3"/>
    <n v="0.3"/>
    <x v="7"/>
  </r>
  <r>
    <x v="1"/>
    <x v="0"/>
    <x v="0"/>
    <n v="45.579999999999202"/>
    <n v="61.453999999998402"/>
    <n v="30.708888888887"/>
    <n v="45.772333333332298"/>
    <n v="7.3760000000000003"/>
    <n v="6.6203333333335399"/>
    <n v="55.493999999998998"/>
    <n v="0.47799999999999998"/>
    <x v="2"/>
    <n v="0.3"/>
    <n v="0.3"/>
    <x v="7"/>
  </r>
  <r>
    <x v="0"/>
    <x v="1"/>
    <x v="0"/>
    <n v="43.6099999999999"/>
    <n v="62.249999999999297"/>
    <n v="28.800999999997799"/>
    <n v="50.2781666666652"/>
    <n v="6.0140000000000002"/>
    <n v="7.2625000000000304"/>
    <n v="52.927999999998598"/>
    <n v="1.97599999999999"/>
    <x v="2"/>
    <n v="0.3"/>
    <n v="0.3"/>
    <x v="7"/>
  </r>
  <r>
    <x v="1"/>
    <x v="1"/>
    <x v="0"/>
    <n v="45.605999999999497"/>
    <n v="64.687999999999406"/>
    <n v="31.611222222220199"/>
    <n v="54.808222222222"/>
    <n v="6.8879999999999999"/>
    <n v="6.6003333333335599"/>
    <n v="54.047999999999099"/>
    <n v="1.1679999999999999"/>
    <x v="2"/>
    <n v="0.3"/>
    <n v="0.3"/>
    <x v="7"/>
  </r>
  <r>
    <x v="0"/>
    <x v="0"/>
    <x v="0"/>
    <n v="46.823999999998797"/>
    <n v="61.983999999999497"/>
    <n v="37.1733333333313"/>
    <n v="51.604166666665598"/>
    <n v="4.6840000000000002"/>
    <n v="3.45500000000006"/>
    <n v="39.027999999999601"/>
    <n v="0.81599999999999995"/>
    <x v="3"/>
    <n v="0.3"/>
    <n v="0.3"/>
    <x v="7"/>
  </r>
  <r>
    <x v="1"/>
    <x v="0"/>
    <x v="0"/>
    <n v="50.115999999998699"/>
    <n v="65.802000000000007"/>
    <n v="40.6345555555557"/>
    <n v="55.195777777778197"/>
    <n v="6.1980000000000004"/>
    <n v="2.83722222222231"/>
    <n v="36.143999999999998"/>
    <n v="0.65"/>
    <x v="3"/>
    <n v="0.3"/>
    <n v="0.3"/>
    <x v="7"/>
  </r>
  <r>
    <x v="0"/>
    <x v="1"/>
    <x v="0"/>
    <n v="46.045999999999403"/>
    <n v="64.708000000000098"/>
    <n v="35.894499999997997"/>
    <n v="52.395833333333201"/>
    <n v="4.0140000000000002"/>
    <n v="4.6911666666667902"/>
    <n v="37.8620000000004"/>
    <n v="2.2919999999999798"/>
    <x v="3"/>
    <n v="0.3"/>
    <n v="0.3"/>
    <x v="7"/>
  </r>
  <r>
    <x v="1"/>
    <x v="1"/>
    <x v="0"/>
    <n v="48.621999999998899"/>
    <n v="67.400000000000404"/>
    <n v="39.2692222222217"/>
    <n v="55.637555555556403"/>
    <n v="5.5919999999999996"/>
    <n v="3.8038888888890199"/>
    <n v="35.946000000000602"/>
    <n v="1.6859999999999999"/>
    <x v="3"/>
    <n v="0.3"/>
    <n v="0.3"/>
    <x v="7"/>
  </r>
  <r>
    <x v="0"/>
    <x v="0"/>
    <x v="0"/>
    <n v="46.011999999999503"/>
    <n v="59.781999999999798"/>
    <n v="39.746666666664296"/>
    <n v="53.157666666665499"/>
    <n v="2.7519999999999998"/>
    <n v="3.2856666666666898"/>
    <n v="45.813999999999403"/>
    <n v="0.55800000000000005"/>
    <x v="4"/>
    <n v="0.3"/>
    <n v="0.3"/>
    <x v="7"/>
  </r>
  <r>
    <x v="1"/>
    <x v="0"/>
    <x v="0"/>
    <n v="48.575999999999397"/>
    <n v="62.821999999999697"/>
    <n v="42.833666666666801"/>
    <n v="56.759222222223499"/>
    <n v="3.6840000000000002"/>
    <n v="2.7512222222222502"/>
    <n v="43.953999999999802"/>
    <n v="0.30599999999999999"/>
    <x v="4"/>
    <n v="0.3"/>
    <n v="0.3"/>
    <x v="7"/>
  </r>
  <r>
    <x v="0"/>
    <x v="1"/>
    <x v="0"/>
    <n v="45.311999999999301"/>
    <n v="59.602000000000402"/>
    <n v="38.280499999997602"/>
    <n v="51.372833333333297"/>
    <n v="2.6579999999999999"/>
    <n v="3.3170000000000202"/>
    <n v="47.767999999999098"/>
    <n v="1.26"/>
    <x v="4"/>
    <n v="0.3"/>
    <n v="0.3"/>
    <x v="7"/>
  </r>
  <r>
    <x v="1"/>
    <x v="1"/>
    <x v="0"/>
    <n v="47.299999999999201"/>
    <n v="61.906000000000198"/>
    <n v="41.106777777777701"/>
    <n v="54.929111111113698"/>
    <n v="3.5739999999999998"/>
    <n v="2.87988888888892"/>
    <n v="46.185999999999403"/>
    <n v="0.90800000000000003"/>
    <x v="4"/>
    <n v="0.3"/>
    <n v="0.3"/>
    <x v="7"/>
  </r>
  <r>
    <x v="0"/>
    <x v="0"/>
    <x v="0"/>
    <n v="43.8879999999996"/>
    <n v="57.2980000000004"/>
    <n v="37.069499999998001"/>
    <n v="49.248499999998899"/>
    <n v="5.9059999999999997"/>
    <n v="1.7270000000000001"/>
    <n v="50.105999999999703"/>
    <n v="0.44"/>
    <x v="5"/>
    <n v="0.3"/>
    <n v="0.3"/>
    <x v="7"/>
  </r>
  <r>
    <x v="1"/>
    <x v="0"/>
    <x v="0"/>
    <n v="46.197999999999702"/>
    <n v="59.970000000000297"/>
    <n v="40.064444444444398"/>
    <n v="52.861666666667901"/>
    <n v="6.976"/>
    <n v="1.54355555555556"/>
    <n v="47.893999999999302"/>
    <n v="0.26"/>
    <x v="5"/>
    <n v="0.3"/>
    <n v="0.3"/>
    <x v="7"/>
  </r>
  <r>
    <x v="0"/>
    <x v="1"/>
    <x v="0"/>
    <n v="43.2699999999993"/>
    <n v="56.232000000001001"/>
    <n v="35.772333333331602"/>
    <n v="46.7325000000003"/>
    <n v="5.4580000000000002"/>
    <n v="1.82033333333333"/>
    <n v="51.979999999999698"/>
    <n v="1.0900000000000001"/>
    <x v="5"/>
    <n v="0.3"/>
    <n v="0.3"/>
    <x v="7"/>
  </r>
  <r>
    <x v="1"/>
    <x v="1"/>
    <x v="0"/>
    <n v="45.427999999999201"/>
    <n v="59.026000000000899"/>
    <n v="38.7393333333331"/>
    <n v="50.680333333335803"/>
    <n v="6.5359999999999996"/>
    <n v="1.5785555555555599"/>
    <n v="49.547999999999199"/>
    <n v="0.78"/>
    <x v="5"/>
    <n v="0.3"/>
    <n v="0.3"/>
    <x v="7"/>
  </r>
  <r>
    <x v="0"/>
    <x v="0"/>
    <x v="0"/>
    <n v="42.123999999999803"/>
    <n v="54.878000000000497"/>
    <n v="36.2763333333316"/>
    <n v="47.947999999999098"/>
    <n v="10.724"/>
    <n v="1.2771666666666599"/>
    <n v="51.762000000000498"/>
    <n v="0.37"/>
    <x v="6"/>
    <n v="0.3"/>
    <n v="0.3"/>
    <x v="7"/>
  </r>
  <r>
    <x v="1"/>
    <x v="0"/>
    <x v="0"/>
    <n v="43.831999999999802"/>
    <n v="56.878000000000696"/>
    <n v="38.814111111111302"/>
    <n v="50.984444444445899"/>
    <n v="12.754"/>
    <n v="1.0248888888888901"/>
    <n v="50.468000000000004"/>
    <n v="0.2"/>
    <x v="6"/>
    <n v="0.3"/>
    <n v="0.3"/>
    <x v="7"/>
  </r>
  <r>
    <x v="0"/>
    <x v="1"/>
    <x v="0"/>
    <n v="41.4979999999996"/>
    <n v="52.980000000001297"/>
    <n v="35.0223333333319"/>
    <n v="44.815500000000299"/>
    <n v="9.9179999999999993"/>
    <n v="1.3318333333333301"/>
    <n v="53.778000000000702"/>
    <n v="0.86199999999999999"/>
    <x v="6"/>
    <n v="0.3"/>
    <n v="0.3"/>
    <x v="7"/>
  </r>
  <r>
    <x v="1"/>
    <x v="1"/>
    <x v="0"/>
    <n v="43.039999999999601"/>
    <n v="54.936000000001201"/>
    <n v="37.621555555555801"/>
    <n v="48.088888888891503"/>
    <n v="11.74"/>
    <n v="1.08"/>
    <n v="51.884000000000199"/>
    <n v="0.63"/>
    <x v="6"/>
    <n v="0.3"/>
    <n v="0.3"/>
    <x v="7"/>
  </r>
  <r>
    <x v="0"/>
    <x v="0"/>
    <x v="0"/>
    <n v="47.435999999999503"/>
    <n v="60.169999999999803"/>
    <n v="38.918999999998199"/>
    <n v="51.209833333332298"/>
    <n v="4.12"/>
    <n v="2.40483333333334"/>
    <n v="41.44"/>
    <n v="0.68400000000000005"/>
    <x v="0"/>
    <n v="0.3"/>
    <n v="0.4"/>
    <x v="8"/>
  </r>
  <r>
    <x v="1"/>
    <x v="0"/>
    <x v="0"/>
    <n v="50.707999999999302"/>
    <n v="63.645999999999802"/>
    <n v="42.330777777777797"/>
    <n v="54.916555555556698"/>
    <n v="5.1379999999999999"/>
    <n v="2.0615555555555698"/>
    <n v="41.553999999999803"/>
    <n v="0.434"/>
    <x v="0"/>
    <n v="0.3"/>
    <n v="0.4"/>
    <x v="8"/>
  </r>
  <r>
    <x v="0"/>
    <x v="1"/>
    <x v="0"/>
    <n v="45.429999999999097"/>
    <n v="58.672000000001098"/>
    <n v="37.486499999998003"/>
    <n v="49.054166666666802"/>
    <n v="3.6739999999999999"/>
    <n v="2.0881666666666701"/>
    <n v="49.7379999999999"/>
    <n v="1.234"/>
    <x v="0"/>
    <n v="0.3"/>
    <n v="0.4"/>
    <x v="8"/>
  </r>
  <r>
    <x v="1"/>
    <x v="1"/>
    <x v="0"/>
    <n v="47.831999999999098"/>
    <n v="61.542000000001003"/>
    <n v="40.5542222222224"/>
    <n v="53.001666666669202"/>
    <n v="4.5720000000000001"/>
    <n v="1.86177777777779"/>
    <n v="47.2479999999996"/>
    <n v="0.82199999999999995"/>
    <x v="0"/>
    <n v="0.3"/>
    <n v="0.4"/>
    <x v="8"/>
  </r>
  <r>
    <x v="0"/>
    <x v="0"/>
    <x v="0"/>
    <n v="46.331999999999802"/>
    <n v="58.758000000000102"/>
    <n v="39.730666666664398"/>
    <n v="51.6233333333319"/>
    <n v="4.6760000000000002"/>
    <n v="2.1278333333333301"/>
    <n v="47.5279999999997"/>
    <n v="0.53200000000000003"/>
    <x v="1"/>
    <n v="0.3"/>
    <n v="0.4"/>
    <x v="8"/>
  </r>
  <r>
    <x v="1"/>
    <x v="0"/>
    <x v="0"/>
    <n v="47.5039999999995"/>
    <n v="60.243999999999701"/>
    <n v="42.362555555555801"/>
    <n v="54.637222222223599"/>
    <n v="5.7320000000000002"/>
    <n v="1.8404444444444601"/>
    <n v="45.989999999999398"/>
    <n v="0.35799999999999998"/>
    <x v="1"/>
    <n v="0.3"/>
    <n v="0.4"/>
    <x v="8"/>
  </r>
  <r>
    <x v="0"/>
    <x v="1"/>
    <x v="0"/>
    <n v="44.807999999999197"/>
    <n v="58.088000000000697"/>
    <n v="37.454333333331199"/>
    <n v="49.031833333333402"/>
    <n v="4.3559999999999999"/>
    <n v="2.1225000000000001"/>
    <n v="50.681999999999398"/>
    <n v="1.3440000000000001"/>
    <x v="1"/>
    <n v="0.3"/>
    <n v="0.4"/>
    <x v="8"/>
  </r>
  <r>
    <x v="1"/>
    <x v="1"/>
    <x v="0"/>
    <n v="46.123999999999199"/>
    <n v="60.112000000000499"/>
    <n v="39.970111111111201"/>
    <n v="52.5056666666692"/>
    <n v="5.508"/>
    <n v="1.94977777777779"/>
    <n v="48.749999999999297"/>
    <n v="1.0640000000000001"/>
    <x v="1"/>
    <n v="0.3"/>
    <n v="0.4"/>
    <x v="8"/>
  </r>
  <r>
    <x v="0"/>
    <x v="0"/>
    <x v="0"/>
    <n v="42.309999999999199"/>
    <n v="55.445999999999202"/>
    <n v="26.831166666664799"/>
    <n v="38.983333333331601"/>
    <n v="9.2439999999999998"/>
    <n v="4.7216666666667004"/>
    <n v="55.827999999997502"/>
    <n v="0.54600000000000004"/>
    <x v="2"/>
    <n v="0.3"/>
    <n v="0.4"/>
    <x v="8"/>
  </r>
  <r>
    <x v="1"/>
    <x v="0"/>
    <x v="0"/>
    <n v="45.247999999999003"/>
    <n v="58.793999999998803"/>
    <n v="29.3228888888871"/>
    <n v="41.458888888888097"/>
    <n v="10.114000000000001"/>
    <n v="5.1781111111112299"/>
    <n v="53.4919999999982"/>
    <n v="0.372"/>
    <x v="2"/>
    <n v="0.3"/>
    <n v="0.4"/>
    <x v="8"/>
  </r>
  <r>
    <x v="0"/>
    <x v="1"/>
    <x v="0"/>
    <n v="42.403999999999897"/>
    <n v="60.287999999999798"/>
    <n v="28.273666666664699"/>
    <n v="47.8034999999986"/>
    <n v="8.1739999999999995"/>
    <n v="4.6895000000000397"/>
    <n v="53.393999999998002"/>
    <n v="1.8299999999999901"/>
    <x v="2"/>
    <n v="0.3"/>
    <n v="0.4"/>
    <x v="8"/>
  </r>
  <r>
    <x v="1"/>
    <x v="1"/>
    <x v="0"/>
    <n v="45.391999999999499"/>
    <n v="63.713999999999601"/>
    <n v="30.976999999998199"/>
    <n v="52.343333333333497"/>
    <n v="8.8620000000000001"/>
    <n v="5.1305555555556799"/>
    <n v="50.757999999998702"/>
    <n v="1.224"/>
    <x v="2"/>
    <n v="0.3"/>
    <n v="0.4"/>
    <x v="8"/>
  </r>
  <r>
    <x v="0"/>
    <x v="0"/>
    <x v="0"/>
    <n v="45.689999999999102"/>
    <n v="59.211999999999598"/>
    <n v="35.802333333331497"/>
    <n v="48.487666666665604"/>
    <n v="6.98"/>
    <n v="2.70783333333336"/>
    <n v="41.923999999999999"/>
    <n v="0.86599999999999999"/>
    <x v="3"/>
    <n v="0.3"/>
    <n v="0.4"/>
    <x v="8"/>
  </r>
  <r>
    <x v="1"/>
    <x v="0"/>
    <x v="0"/>
    <n v="49.193999999999001"/>
    <n v="63.339999999999698"/>
    <n v="39.320333333333899"/>
    <n v="52.379222222222502"/>
    <n v="8.3620000000000001"/>
    <n v="2.2383333333333901"/>
    <n v="38.613999999999699"/>
    <n v="0.69399999999999995"/>
    <x v="3"/>
    <n v="0.3"/>
    <n v="0.4"/>
    <x v="8"/>
  </r>
  <r>
    <x v="0"/>
    <x v="1"/>
    <x v="0"/>
    <n v="45.315999999999597"/>
    <n v="63.744000000000199"/>
    <n v="35.063166666664799"/>
    <n v="50.361666666666601"/>
    <n v="5.7279999999999998"/>
    <n v="3.5748333333333999"/>
    <n v="40.282000000000103"/>
    <n v="2.3459999999999801"/>
    <x v="3"/>
    <n v="0.3"/>
    <n v="0.4"/>
    <x v="8"/>
  </r>
  <r>
    <x v="1"/>
    <x v="1"/>
    <x v="0"/>
    <n v="48.259999999999003"/>
    <n v="67.058000000000305"/>
    <n v="38.609777777777502"/>
    <n v="54.341111111112198"/>
    <n v="7.0220000000000002"/>
    <n v="3.0837777777778701"/>
    <n v="36.744000000000199"/>
    <n v="1.8259999999999901"/>
    <x v="3"/>
    <n v="0.3"/>
    <n v="0.4"/>
    <x v="8"/>
  </r>
  <r>
    <x v="0"/>
    <x v="0"/>
    <x v="0"/>
    <n v="47.233999999999597"/>
    <n v="60.135999999999498"/>
    <n v="39.948499999997701"/>
    <n v="52.525499999998701"/>
    <n v="3.1219999999999999"/>
    <n v="3.1933333333333498"/>
    <n v="44.561999999999699"/>
    <n v="0.56000000000000005"/>
    <x v="4"/>
    <n v="0.3"/>
    <n v="0.4"/>
    <x v="8"/>
  </r>
  <r>
    <x v="1"/>
    <x v="0"/>
    <x v="0"/>
    <n v="49.149999999999402"/>
    <n v="62.201999999999302"/>
    <n v="43.005888888889203"/>
    <n v="55.676000000001302"/>
    <n v="4.0439999999999996"/>
    <n v="2.8557777777778002"/>
    <n v="42.742000000000097"/>
    <n v="0.378"/>
    <x v="4"/>
    <n v="0.3"/>
    <n v="0.4"/>
    <x v="8"/>
  </r>
  <r>
    <x v="0"/>
    <x v="1"/>
    <x v="0"/>
    <n v="46.075999999999397"/>
    <n v="60.754000000000097"/>
    <n v="38.134666666664401"/>
    <n v="51.300500000000099"/>
    <n v="2.9420000000000002"/>
    <n v="3.2918333333333498"/>
    <n v="47.187999999999199"/>
    <n v="1.69799999999999"/>
    <x v="4"/>
    <n v="0.3"/>
    <n v="0.4"/>
    <x v="8"/>
  </r>
  <r>
    <x v="1"/>
    <x v="1"/>
    <x v="0"/>
    <n v="48.033999999998997"/>
    <n v="63.142000000000003"/>
    <n v="40.837000000000003"/>
    <n v="54.850444444447099"/>
    <n v="3.66"/>
    <n v="2.8803333333333501"/>
    <n v="45.091999999999601"/>
    <n v="1.1499999999999999"/>
    <x v="4"/>
    <n v="0.3"/>
    <n v="0.4"/>
    <x v="8"/>
  </r>
  <r>
    <x v="0"/>
    <x v="0"/>
    <x v="0"/>
    <n v="46.339999999999698"/>
    <n v="58.861999999999902"/>
    <n v="39.305166666664398"/>
    <n v="51.210666666665297"/>
    <n v="3.742"/>
    <n v="2.2736666666666698"/>
    <n v="47.155999999999302"/>
    <n v="0.47199999999999998"/>
    <x v="5"/>
    <n v="0.3"/>
    <n v="0.4"/>
    <x v="8"/>
  </r>
  <r>
    <x v="1"/>
    <x v="0"/>
    <x v="0"/>
    <n v="48.929999999999502"/>
    <n v="61.601999999999698"/>
    <n v="42.608444444444601"/>
    <n v="54.606222222223501"/>
    <n v="4.6159999999999997"/>
    <n v="2.0033333333333401"/>
    <n v="44.377999999999602"/>
    <n v="0.28199999999999997"/>
    <x v="5"/>
    <n v="0.3"/>
    <n v="0.4"/>
    <x v="8"/>
  </r>
  <r>
    <x v="0"/>
    <x v="1"/>
    <x v="0"/>
    <n v="45.247999999999301"/>
    <n v="59.3280000000006"/>
    <n v="37.335999999997902"/>
    <n v="49.354000000000099"/>
    <n v="3.4620000000000002"/>
    <n v="2.3005"/>
    <n v="49.801999999999197"/>
    <n v="1.41"/>
    <x v="5"/>
    <n v="0.3"/>
    <n v="0.4"/>
    <x v="8"/>
  </r>
  <r>
    <x v="1"/>
    <x v="1"/>
    <x v="0"/>
    <n v="47.299999999999102"/>
    <n v="61.654000000000401"/>
    <n v="40.149888888888903"/>
    <n v="52.786222222224801"/>
    <n v="4.2939999999999996"/>
    <n v="2.0217777777777899"/>
    <n v="47.107999999999002"/>
    <n v="1.032"/>
    <x v="5"/>
    <n v="0.3"/>
    <n v="0.4"/>
    <x v="8"/>
  </r>
  <r>
    <x v="0"/>
    <x v="0"/>
    <x v="0"/>
    <n v="44.06"/>
    <n v="56.1640000000002"/>
    <n v="38.221166666664601"/>
    <n v="49.918999999998697"/>
    <n v="9.2859999999999996"/>
    <n v="1.81666666666666"/>
    <n v="49.275999999999797"/>
    <n v="0.41799999999999998"/>
    <x v="6"/>
    <n v="0.3"/>
    <n v="0.4"/>
    <x v="8"/>
  </r>
  <r>
    <x v="1"/>
    <x v="0"/>
    <x v="0"/>
    <n v="45.897999999999897"/>
    <n v="58.143999999999998"/>
    <n v="41.127111111111297"/>
    <n v="52.919666666668"/>
    <n v="10.99"/>
    <n v="1.4937777777777901"/>
    <n v="46.757999999999697"/>
    <n v="0.24199999999999999"/>
    <x v="6"/>
    <n v="0.3"/>
    <n v="0.4"/>
    <x v="8"/>
  </r>
  <r>
    <x v="0"/>
    <x v="1"/>
    <x v="0"/>
    <n v="43.243999999999403"/>
    <n v="56.228000000000897"/>
    <n v="36.5946666666648"/>
    <n v="47.641833333333501"/>
    <n v="8.3140000000000001"/>
    <n v="1.8133333333333299"/>
    <n v="51.549999999999798"/>
    <n v="1.1679999999999999"/>
    <x v="6"/>
    <n v="0.3"/>
    <n v="0.4"/>
    <x v="8"/>
  </r>
  <r>
    <x v="1"/>
    <x v="1"/>
    <x v="0"/>
    <n v="44.533999999999502"/>
    <n v="57.5560000000008"/>
    <n v="38.791666666666799"/>
    <n v="50.3330000000025"/>
    <n v="10.054"/>
    <n v="1.5008888888889"/>
    <n v="49.699999999999598"/>
    <n v="0.85"/>
    <x v="6"/>
    <n v="0.3"/>
    <n v="0.4"/>
    <x v="8"/>
  </r>
  <r>
    <x v="0"/>
    <x v="0"/>
    <x v="0"/>
    <n v="44.504000000000097"/>
    <n v="57.5940000000016"/>
    <n v="37.674666666665701"/>
    <n v="49.238666666666703"/>
    <n v="7.3860000000000001"/>
    <n v="0.90349999999999797"/>
    <n v="51.218000000000799"/>
    <n v="0.254"/>
    <x v="0"/>
    <n v="0.4"/>
    <n v="0.2"/>
    <x v="9"/>
  </r>
  <r>
    <x v="1"/>
    <x v="0"/>
    <x v="0"/>
    <n v="46.928000000000203"/>
    <n v="60.680000000001499"/>
    <n v="40.8746666666677"/>
    <n v="53.3117777777802"/>
    <n v="8.4079999999999995"/>
    <n v="0.77511111111110897"/>
    <n v="49.17"/>
    <n v="0.17799999999999999"/>
    <x v="0"/>
    <n v="0.4"/>
    <n v="0.2"/>
    <x v="9"/>
  </r>
  <r>
    <x v="0"/>
    <x v="1"/>
    <x v="0"/>
    <n v="43.899999999999899"/>
    <n v="53.930000000001598"/>
    <n v="37.005333333332501"/>
    <n v="45.430000000000597"/>
    <n v="6.6180000000000003"/>
    <n v="0.958666666666668"/>
    <n v="52.418000000001101"/>
    <n v="0.42199999999999999"/>
    <x v="0"/>
    <n v="0.4"/>
    <n v="0.2"/>
    <x v="9"/>
  </r>
  <r>
    <x v="1"/>
    <x v="1"/>
    <x v="0"/>
    <n v="45.253999999999998"/>
    <n v="55.862000000001601"/>
    <n v="39.307444444445203"/>
    <n v="48.694000000002703"/>
    <n v="8.0739999999999998"/>
    <n v="0.82099999999999795"/>
    <n v="51.2680000000002"/>
    <n v="0.22800000000000001"/>
    <x v="0"/>
    <n v="0.4"/>
    <n v="0.2"/>
    <x v="9"/>
  </r>
  <r>
    <x v="0"/>
    <x v="0"/>
    <x v="0"/>
    <n v="44.844000000000101"/>
    <n v="58.014000000001602"/>
    <n v="38.2221666666657"/>
    <n v="49.742833333333401"/>
    <n v="6.4039999999999999"/>
    <n v="0.89983333333333404"/>
    <n v="50.642000000000301"/>
    <n v="0.23200000000000001"/>
    <x v="1"/>
    <n v="0.4"/>
    <n v="0.2"/>
    <x v="9"/>
  </r>
  <r>
    <x v="1"/>
    <x v="0"/>
    <x v="0"/>
    <n v="46.742000000000097"/>
    <n v="60.468000000001403"/>
    <n v="41.230333333334301"/>
    <n v="53.625777777780101"/>
    <n v="8.0180000000000007"/>
    <n v="0.71455555555555095"/>
    <n v="48.611999999999597"/>
    <n v="0.156"/>
    <x v="1"/>
    <n v="0.4"/>
    <n v="0.2"/>
    <x v="9"/>
  </r>
  <r>
    <x v="0"/>
    <x v="1"/>
    <x v="0"/>
    <n v="43.235999999999898"/>
    <n v="53.266000000001398"/>
    <n v="36.636833333332497"/>
    <n v="44.9188333333339"/>
    <n v="6.11"/>
    <n v="0.92733333333333301"/>
    <n v="53.082000000000598"/>
    <n v="0.48199999999999998"/>
    <x v="1"/>
    <n v="0.4"/>
    <n v="0.2"/>
    <x v="9"/>
  </r>
  <r>
    <x v="1"/>
    <x v="1"/>
    <x v="0"/>
    <n v="44.374000000000102"/>
    <n v="54.678000000001397"/>
    <n v="38.997777777778602"/>
    <n v="47.795111111113798"/>
    <n v="7.8419999999999996"/>
    <n v="0.71899999999999498"/>
    <n v="51.529999999999902"/>
    <n v="0.32800000000000001"/>
    <x v="1"/>
    <n v="0.4"/>
    <n v="0.2"/>
    <x v="9"/>
  </r>
  <r>
    <x v="0"/>
    <x v="0"/>
    <x v="0"/>
    <n v="44.721999999999497"/>
    <n v="63.259999999999003"/>
    <n v="28.6151666666644"/>
    <n v="47.420666666665198"/>
    <n v="5.8639999999999999"/>
    <n v="8.3698333333334105"/>
    <n v="56.423999999998998"/>
    <n v="0.82399999999999995"/>
    <x v="2"/>
    <n v="0.4"/>
    <n v="0.2"/>
    <x v="9"/>
  </r>
  <r>
    <x v="1"/>
    <x v="0"/>
    <x v="0"/>
    <n v="46.183999999999301"/>
    <n v="65.179999999999495"/>
    <n v="31.844555555553502"/>
    <n v="50.895888888887903"/>
    <n v="6.8019999999999996"/>
    <n v="7.0952222222225201"/>
    <n v="53.317999999999003"/>
    <n v="0.42799999999999999"/>
    <x v="2"/>
    <n v="0.4"/>
    <n v="0.2"/>
    <x v="9"/>
  </r>
  <r>
    <x v="0"/>
    <x v="1"/>
    <x v="0"/>
    <n v="44.675999999999704"/>
    <n v="63.935999999999602"/>
    <n v="29.182499999997798"/>
    <n v="51.615333333332003"/>
    <n v="5.5780000000000003"/>
    <n v="8.4928333333334098"/>
    <n v="55.1299999999991"/>
    <n v="1.526"/>
    <x v="2"/>
    <n v="0.4"/>
    <n v="0.2"/>
    <x v="9"/>
  </r>
  <r>
    <x v="1"/>
    <x v="1"/>
    <x v="0"/>
    <n v="46.267999999999397"/>
    <n v="65.867999999999995"/>
    <n v="32.406888888886897"/>
    <n v="56.280555555554997"/>
    <n v="6.5060000000000002"/>
    <n v="7.1314444444447602"/>
    <n v="52.397999999999101"/>
    <n v="0.77800000000000002"/>
    <x v="2"/>
    <n v="0.4"/>
    <n v="0.2"/>
    <x v="9"/>
  </r>
  <r>
    <x v="0"/>
    <x v="0"/>
    <x v="0"/>
    <n v="42.849999999999099"/>
    <n v="58.268000000000796"/>
    <n v="34.084999999998601"/>
    <n v="47.23"/>
    <n v="13.074"/>
    <n v="1.8574999999999999"/>
    <n v="44.400000000000396"/>
    <n v="0.628"/>
    <x v="3"/>
    <n v="0.4"/>
    <n v="0.2"/>
    <x v="9"/>
  </r>
  <r>
    <x v="1"/>
    <x v="0"/>
    <x v="0"/>
    <n v="45.359999999998898"/>
    <n v="61.618000000000698"/>
    <n v="37.2275555555563"/>
    <n v="51.291777777778499"/>
    <n v="14.874000000000001"/>
    <n v="1.6544444444444799"/>
    <n v="42.672000000000097"/>
    <n v="0.438"/>
    <x v="3"/>
    <n v="0.4"/>
    <n v="0.2"/>
    <x v="9"/>
  </r>
  <r>
    <x v="0"/>
    <x v="1"/>
    <x v="0"/>
    <n v="42.507999999999498"/>
    <n v="59.038000000000601"/>
    <n v="33.246499999998498"/>
    <n v="46.326666666666803"/>
    <n v="11.582000000000001"/>
    <n v="2.4946666666666801"/>
    <n v="42.644000000000403"/>
    <n v="1.35"/>
    <x v="3"/>
    <n v="0.4"/>
    <n v="0.2"/>
    <x v="9"/>
  </r>
  <r>
    <x v="1"/>
    <x v="1"/>
    <x v="0"/>
    <n v="45.1779999999994"/>
    <n v="62.612000000000698"/>
    <n v="36.534666666667"/>
    <n v="50.556333333334599"/>
    <n v="13.093999999999999"/>
    <n v="2.2272222222222799"/>
    <n v="39.925999999999803"/>
    <n v="0.89800000000000002"/>
    <x v="3"/>
    <n v="0.4"/>
    <n v="0.2"/>
    <x v="9"/>
  </r>
  <r>
    <x v="0"/>
    <x v="0"/>
    <x v="0"/>
    <n v="45.531999999999897"/>
    <n v="59.7420000000008"/>
    <n v="39.272999999998497"/>
    <n v="51.968166666666299"/>
    <n v="6.742"/>
    <n v="1.2595000000000001"/>
    <n v="48.983999999999398"/>
    <n v="0.27400000000000002"/>
    <x v="4"/>
    <n v="0.4"/>
    <n v="0.2"/>
    <x v="9"/>
  </r>
  <r>
    <x v="1"/>
    <x v="0"/>
    <x v="0"/>
    <n v="47.247999999999898"/>
    <n v="61.582000000000697"/>
    <n v="42.002000000000798"/>
    <n v="55.203777777780097"/>
    <n v="8.0540000000000003"/>
    <n v="1.06588888888889"/>
    <n v="47.539999999999203"/>
    <n v="0.19400000000000001"/>
    <x v="4"/>
    <n v="0.4"/>
    <n v="0.2"/>
    <x v="9"/>
  </r>
  <r>
    <x v="0"/>
    <x v="1"/>
    <x v="0"/>
    <n v="43.829999999999799"/>
    <n v="54.774000000001102"/>
    <n v="37.619499999998702"/>
    <n v="47.023500000000197"/>
    <n v="6.6980000000000004"/>
    <n v="1.24816666666666"/>
    <n v="51.4579999999997"/>
    <n v="0.55000000000000004"/>
    <x v="4"/>
    <n v="0.4"/>
    <n v="0.2"/>
    <x v="9"/>
  </r>
  <r>
    <x v="1"/>
    <x v="1"/>
    <x v="0"/>
    <n v="45.6679999999999"/>
    <n v="56.848000000001299"/>
    <n v="40.361666666667404"/>
    <n v="50.392000000002803"/>
    <n v="7.81"/>
    <n v="1.02077777777778"/>
    <n v="49.7639999999992"/>
    <n v="0.34399999999999997"/>
    <x v="4"/>
    <n v="0.4"/>
    <n v="0.2"/>
    <x v="9"/>
  </r>
  <r>
    <x v="0"/>
    <x v="0"/>
    <x v="0"/>
    <n v="41.116000000000199"/>
    <n v="53.480000000001297"/>
    <n v="35.202666666665898"/>
    <n v="46.081499999999998"/>
    <n v="12.923999999999999"/>
    <n v="0.68699999999999894"/>
    <n v="55.398000000001197"/>
    <n v="0.158"/>
    <x v="5"/>
    <n v="0.4"/>
    <n v="0.2"/>
    <x v="9"/>
  </r>
  <r>
    <x v="1"/>
    <x v="0"/>
    <x v="0"/>
    <n v="42.922000000000203"/>
    <n v="55.5400000000012"/>
    <n v="37.730666666667503"/>
    <n v="49.102555555557899"/>
    <n v="14.304"/>
    <n v="0.56299999999999595"/>
    <n v="53.552000000000398"/>
    <n v="0.11600000000000001"/>
    <x v="5"/>
    <n v="0.4"/>
    <n v="0.2"/>
    <x v="9"/>
  </r>
  <r>
    <x v="0"/>
    <x v="1"/>
    <x v="0"/>
    <n v="39.964000000000098"/>
    <n v="49.096000000001098"/>
    <n v="34.0958333333326"/>
    <n v="41.517500000000503"/>
    <n v="12.476000000000001"/>
    <n v="0.66766666666666696"/>
    <n v="57.048000000001203"/>
    <n v="0.36399999999999999"/>
    <x v="5"/>
    <n v="0.4"/>
    <n v="0.2"/>
    <x v="9"/>
  </r>
  <r>
    <x v="1"/>
    <x v="1"/>
    <x v="0"/>
    <n v="41.5120000000001"/>
    <n v="51.126000000001397"/>
    <n v="36.285333333334201"/>
    <n v="44.422444444447002"/>
    <n v="13.836"/>
    <n v="0.53966666666666296"/>
    <n v="55.628000000000696"/>
    <n v="0.26200000000000001"/>
    <x v="5"/>
    <n v="0.4"/>
    <n v="0.2"/>
    <x v="9"/>
  </r>
  <r>
    <x v="0"/>
    <x v="0"/>
    <x v="0"/>
    <n v="41.6760000000004"/>
    <n v="54.256000000001102"/>
    <n v="36.429666666665902"/>
    <n v="47.661499999999897"/>
    <n v="14.194000000000001"/>
    <n v="0.79049999999999998"/>
    <n v="53.544000000000899"/>
    <n v="0.19400000000000001"/>
    <x v="6"/>
    <n v="0.4"/>
    <n v="0.2"/>
    <x v="9"/>
  </r>
  <r>
    <x v="1"/>
    <x v="0"/>
    <x v="0"/>
    <n v="42.434000000000403"/>
    <n v="55.526000000001098"/>
    <n v="38.232555555556502"/>
    <n v="50.319444444446802"/>
    <n v="16.638000000000002"/>
    <n v="0.60655555555555196"/>
    <n v="52.6360000000005"/>
    <n v="0.14599999999999999"/>
    <x v="6"/>
    <n v="0.4"/>
    <n v="0.2"/>
    <x v="9"/>
  </r>
  <r>
    <x v="0"/>
    <x v="1"/>
    <x v="0"/>
    <n v="40.710000000000299"/>
    <n v="50.068000000001199"/>
    <n v="35.338833333332701"/>
    <n v="43.198000000000597"/>
    <n v="13.667999999999999"/>
    <n v="0.76933333333333398"/>
    <n v="55.088000000001003"/>
    <n v="0.39600000000000002"/>
    <x v="6"/>
    <n v="0.4"/>
    <n v="0.2"/>
    <x v="9"/>
  </r>
  <r>
    <x v="1"/>
    <x v="1"/>
    <x v="0"/>
    <n v="41.508000000000301"/>
    <n v="51.072000000001402"/>
    <n v="37.279444444445303"/>
    <n v="45.581555555558097"/>
    <n v="15.846"/>
    <n v="0.606222222222218"/>
    <n v="53.906000000000702"/>
    <n v="0.30199999999999999"/>
    <x v="6"/>
    <n v="0.4"/>
    <n v="0.2"/>
    <x v="9"/>
  </r>
  <r>
    <x v="0"/>
    <x v="0"/>
    <x v="0"/>
    <n v="47.955999999999896"/>
    <n v="61.1300000000004"/>
    <n v="41.375999999998399"/>
    <n v="53.762166666666197"/>
    <n v="4.0940000000000003"/>
    <n v="1.98016666666666"/>
    <n v="43.407999999999603"/>
    <n v="0.48199999999999998"/>
    <x v="0"/>
    <n v="0.4"/>
    <n v="0.3"/>
    <x v="10"/>
  </r>
  <r>
    <x v="1"/>
    <x v="0"/>
    <x v="0"/>
    <n v="51.199999999999797"/>
    <n v="64.522000000000503"/>
    <n v="44.920555555556398"/>
    <n v="57.547666666669002"/>
    <n v="5.3120000000000003"/>
    <n v="1.5644444444444501"/>
    <n v="42.609999999999502"/>
    <n v="0.27400000000000002"/>
    <x v="0"/>
    <n v="0.4"/>
    <n v="0.3"/>
    <x v="10"/>
  </r>
  <r>
    <x v="0"/>
    <x v="1"/>
    <x v="0"/>
    <n v="46.119999999999798"/>
    <n v="57.520000000001403"/>
    <n v="39.526999999998502"/>
    <n v="49.758333333333603"/>
    <n v="3.79"/>
    <n v="1.6844999999999899"/>
    <n v="48.847999999999601"/>
    <n v="0.64"/>
    <x v="0"/>
    <n v="0.4"/>
    <n v="0.3"/>
    <x v="10"/>
  </r>
  <r>
    <x v="1"/>
    <x v="1"/>
    <x v="0"/>
    <n v="48.693999999999697"/>
    <n v="60.212000000001503"/>
    <n v="42.819666666667501"/>
    <n v="53.555000000002998"/>
    <n v="4.84"/>
    <n v="1.42966666666667"/>
    <n v="47.341999999999501"/>
    <n v="0.46400000000000002"/>
    <x v="0"/>
    <n v="0.4"/>
    <n v="0.3"/>
    <x v="10"/>
  </r>
  <r>
    <x v="0"/>
    <x v="0"/>
    <x v="0"/>
    <n v="46.654000000000103"/>
    <n v="59.756000000000597"/>
    <n v="41.368666666665"/>
    <n v="53.669333333332602"/>
    <n v="4.3120000000000003"/>
    <n v="1.6521666666666599"/>
    <n v="47.209999999999297"/>
    <n v="0.34200000000000003"/>
    <x v="1"/>
    <n v="0.4"/>
    <n v="0.3"/>
    <x v="10"/>
  </r>
  <r>
    <x v="1"/>
    <x v="0"/>
    <x v="0"/>
    <n v="48.937999999999697"/>
    <n v="62.332000000000299"/>
    <n v="44.276444444445303"/>
    <n v="57.010111111113403"/>
    <n v="5.6260000000000003"/>
    <n v="1.2661111111111101"/>
    <n v="45.949999999999299"/>
    <n v="0.186"/>
    <x v="1"/>
    <n v="0.4"/>
    <n v="0.3"/>
    <x v="10"/>
  </r>
  <r>
    <x v="0"/>
    <x v="1"/>
    <x v="0"/>
    <n v="45.133999999999801"/>
    <n v="56.288000000001198"/>
    <n v="39.503166666665102"/>
    <n v="49.550500000000099"/>
    <n v="4.0860000000000003"/>
    <n v="1.70383333333333"/>
    <n v="49.9099999999993"/>
    <n v="0.76200000000000001"/>
    <x v="1"/>
    <n v="0.4"/>
    <n v="0.3"/>
    <x v="10"/>
  </r>
  <r>
    <x v="1"/>
    <x v="1"/>
    <x v="0"/>
    <n v="46.959999999999702"/>
    <n v="58.340000000001197"/>
    <n v="42.053888888889603"/>
    <n v="52.570333333336301"/>
    <n v="5.218"/>
    <n v="1.31388888888889"/>
    <n v="48.841999999999302"/>
    <n v="0.51800000000000002"/>
    <x v="1"/>
    <n v="0.4"/>
    <n v="0.3"/>
    <x v="10"/>
  </r>
  <r>
    <x v="0"/>
    <x v="0"/>
    <x v="0"/>
    <n v="45.039999999999203"/>
    <n v="60.603999999998798"/>
    <n v="27.718499999997899"/>
    <n v="42.707499999998397"/>
    <n v="7.0880000000000001"/>
    <n v="7.1880000000000202"/>
    <n v="53.797999999998403"/>
    <n v="0.81"/>
    <x v="2"/>
    <n v="0.4"/>
    <n v="0.3"/>
    <x v="10"/>
  </r>
  <r>
    <x v="1"/>
    <x v="0"/>
    <x v="0"/>
    <n v="46.597999999999097"/>
    <n v="62.1579999999988"/>
    <n v="30.914999999997999"/>
    <n v="46.036111111110003"/>
    <n v="8.4760000000000009"/>
    <n v="6.5364444444446601"/>
    <n v="54.777999999999103"/>
    <n v="0.34200000000000003"/>
    <x v="2"/>
    <n v="0.4"/>
    <n v="0.3"/>
    <x v="10"/>
  </r>
  <r>
    <x v="0"/>
    <x v="1"/>
    <x v="0"/>
    <n v="44.635999999999697"/>
    <n v="63.793999999999599"/>
    <n v="28.592666666664499"/>
    <n v="50.177999999998498"/>
    <n v="6.8"/>
    <n v="7.13283333333339"/>
    <n v="52.159999999998703"/>
    <n v="1.8199999999999901"/>
    <x v="2"/>
    <n v="0.4"/>
    <n v="0.3"/>
    <x v="10"/>
  </r>
  <r>
    <x v="1"/>
    <x v="1"/>
    <x v="0"/>
    <n v="46.719999999999303"/>
    <n v="65.903999999999897"/>
    <n v="31.853999999998202"/>
    <n v="54.9694444444442"/>
    <n v="7.6559999999999997"/>
    <n v="6.6030000000002103"/>
    <n v="53.267999999999198"/>
    <n v="1.0960000000000001"/>
    <x v="2"/>
    <n v="0.4"/>
    <n v="0.3"/>
    <x v="10"/>
  </r>
  <r>
    <x v="0"/>
    <x v="0"/>
    <x v="0"/>
    <n v="48.3319999999987"/>
    <n v="63.523999999999901"/>
    <n v="38.629833333331298"/>
    <n v="52.513999999999299"/>
    <n v="5.5540000000000003"/>
    <n v="2.9846666666667101"/>
    <n v="36.895999999999603"/>
    <n v="0.81"/>
    <x v="3"/>
    <n v="0.4"/>
    <n v="0.3"/>
    <x v="10"/>
  </r>
  <r>
    <x v="1"/>
    <x v="0"/>
    <x v="0"/>
    <n v="51.791999999998701"/>
    <n v="67.234000000000407"/>
    <n v="42.282444444444998"/>
    <n v="56.4941111111117"/>
    <n v="7.4340000000000002"/>
    <n v="2.5492222222222898"/>
    <n v="34.76"/>
    <n v="0.56399999999999995"/>
    <x v="3"/>
    <n v="0.4"/>
    <n v="0.3"/>
    <x v="10"/>
  </r>
  <r>
    <x v="0"/>
    <x v="1"/>
    <x v="0"/>
    <n v="47.173999999999197"/>
    <n v="65.778000000000304"/>
    <n v="37.453999999998203"/>
    <n v="53.0088333333333"/>
    <n v="4.8540000000000001"/>
    <n v="3.8991666666667499"/>
    <n v="35.648000000000202"/>
    <n v="2.0559999999999898"/>
    <x v="3"/>
    <n v="0.4"/>
    <n v="0.3"/>
    <x v="10"/>
  </r>
  <r>
    <x v="1"/>
    <x v="1"/>
    <x v="0"/>
    <n v="50.101999999998597"/>
    <n v="68.972000000000804"/>
    <n v="40.984666666666399"/>
    <n v="56.956000000000998"/>
    <n v="6.24"/>
    <n v="3.1928888888889899"/>
    <n v="34.2180000000006"/>
    <n v="1.4359999999999999"/>
    <x v="3"/>
    <n v="0.4"/>
    <n v="0.3"/>
    <x v="10"/>
  </r>
  <r>
    <x v="0"/>
    <x v="0"/>
    <x v="0"/>
    <n v="47.985999999999997"/>
    <n v="61.156000000000702"/>
    <n v="41.9833333333317"/>
    <n v="54.388166666666201"/>
    <n v="3.1659999999999999"/>
    <n v="1.8534999999999999"/>
    <n v="45.045999999999097"/>
    <n v="0.36399999999999999"/>
    <x v="4"/>
    <n v="0.4"/>
    <n v="0.3"/>
    <x v="10"/>
  </r>
  <r>
    <x v="1"/>
    <x v="0"/>
    <x v="0"/>
    <n v="50.019999999999897"/>
    <n v="63.5540000000003"/>
    <n v="44.9383333333341"/>
    <n v="57.799333333335497"/>
    <n v="4.4020000000000001"/>
    <n v="1.55277777777778"/>
    <n v="43.707999999999402"/>
    <n v="0.184"/>
    <x v="4"/>
    <n v="0.4"/>
    <n v="0.3"/>
    <x v="10"/>
  </r>
  <r>
    <x v="0"/>
    <x v="1"/>
    <x v="0"/>
    <n v="46.161999999999701"/>
    <n v="58.030000000001301"/>
    <n v="39.697166666664998"/>
    <n v="50.264666666666898"/>
    <n v="3.1040000000000001"/>
    <n v="1.96183333333333"/>
    <n v="48.117999999999"/>
    <n v="0.84599999999999997"/>
    <x v="4"/>
    <n v="0.4"/>
    <n v="0.3"/>
    <x v="10"/>
  </r>
  <r>
    <x v="1"/>
    <x v="1"/>
    <x v="0"/>
    <n v="48.463999999999501"/>
    <n v="60.442000000001102"/>
    <n v="42.880000000000699"/>
    <n v="53.900000000002898"/>
    <n v="3.99"/>
    <n v="1.57911111111111"/>
    <n v="46.311999999999003"/>
    <n v="0.55400000000000005"/>
    <x v="4"/>
    <n v="0.4"/>
    <n v="0.3"/>
    <x v="10"/>
  </r>
  <r>
    <x v="0"/>
    <x v="0"/>
    <x v="0"/>
    <n v="46.126000000000097"/>
    <n v="58.544000000001198"/>
    <n v="39.028333333332299"/>
    <n v="50.135999999999598"/>
    <n v="6.3920000000000003"/>
    <n v="0.95933333333333304"/>
    <n v="49.663999999999902"/>
    <n v="0.25"/>
    <x v="5"/>
    <n v="0.4"/>
    <n v="0.3"/>
    <x v="10"/>
  </r>
  <r>
    <x v="1"/>
    <x v="0"/>
    <x v="0"/>
    <n v="47.850000000000101"/>
    <n v="60.680000000001002"/>
    <n v="42.006888888889897"/>
    <n v="53.767888888891001"/>
    <n v="7.9359999999999999"/>
    <n v="0.79077777777777603"/>
    <n v="47.861999999999497"/>
    <n v="0.17599999999999999"/>
    <x v="5"/>
    <n v="0.4"/>
    <n v="0.3"/>
    <x v="10"/>
  </r>
  <r>
    <x v="0"/>
    <x v="1"/>
    <x v="0"/>
    <n v="44.3599999999999"/>
    <n v="54.882000000001497"/>
    <n v="37.023999999998999"/>
    <n v="45.730500000000603"/>
    <n v="6.24"/>
    <n v="0.97199999999999798"/>
    <n v="52.428000000000303"/>
    <n v="0.66400000000000003"/>
    <x v="5"/>
    <n v="0.4"/>
    <n v="0.3"/>
    <x v="10"/>
  </r>
  <r>
    <x v="1"/>
    <x v="1"/>
    <x v="0"/>
    <n v="46.357999999999997"/>
    <n v="57.176000000001402"/>
    <n v="40.0911111111119"/>
    <n v="49.488777777780697"/>
    <n v="7.2080000000000002"/>
    <n v="0.78644444444444195"/>
    <n v="50.523999999999603"/>
    <n v="0.43"/>
    <x v="5"/>
    <n v="0.4"/>
    <n v="0.3"/>
    <x v="10"/>
  </r>
  <r>
    <x v="0"/>
    <x v="0"/>
    <x v="0"/>
    <n v="43.762000000000299"/>
    <n v="55.710000000001102"/>
    <n v="37.944999999998998"/>
    <n v="48.626833333333003"/>
    <n v="11.772"/>
    <n v="0.75899999999999901"/>
    <n v="51.980000000000899"/>
    <n v="0.20200000000000001"/>
    <x v="6"/>
    <n v="0.4"/>
    <n v="0.3"/>
    <x v="10"/>
  </r>
  <r>
    <x v="1"/>
    <x v="0"/>
    <x v="0"/>
    <n v="44.758000000000202"/>
    <n v="56.838000000001102"/>
    <n v="40.1633333333344"/>
    <n v="51.240222222224403"/>
    <n v="14.04"/>
    <n v="0.58333333333333004"/>
    <n v="51.120000000000303"/>
    <n v="0.124"/>
    <x v="6"/>
    <n v="0.4"/>
    <n v="0.3"/>
    <x v="10"/>
  </r>
  <r>
    <x v="0"/>
    <x v="1"/>
    <x v="0"/>
    <n v="41.718000000000103"/>
    <n v="51.608000000001397"/>
    <n v="35.886666666665903"/>
    <n v="44.147666666667298"/>
    <n v="11.052"/>
    <n v="0.74066666666666903"/>
    <n v="54.776000000001098"/>
    <n v="0.54800000000000004"/>
    <x v="6"/>
    <n v="0.4"/>
    <n v="0.3"/>
    <x v="10"/>
  </r>
  <r>
    <x v="1"/>
    <x v="1"/>
    <x v="0"/>
    <n v="43.258000000000102"/>
    <n v="53.1980000000015"/>
    <n v="38.313000000000997"/>
    <n v="46.993111111113997"/>
    <n v="12.92"/>
    <n v="0.58655555555555305"/>
    <n v="53.536000000000698"/>
    <n v="0.34799999999999998"/>
    <x v="6"/>
    <n v="0.4"/>
    <n v="0.3"/>
    <x v="10"/>
  </r>
  <r>
    <x v="0"/>
    <x v="0"/>
    <x v="0"/>
    <n v="49.0399999999998"/>
    <n v="61.476000000000397"/>
    <n v="40.727166666665198"/>
    <n v="52.190166666666101"/>
    <n v="5.048"/>
    <n v="1.70966666666666"/>
    <n v="42.3479999999998"/>
    <n v="0.51"/>
    <x v="0"/>
    <n v="0.4"/>
    <n v="0.4"/>
    <x v="11"/>
  </r>
  <r>
    <x v="1"/>
    <x v="0"/>
    <x v="0"/>
    <n v="52.0799999999997"/>
    <n v="65.116000000000497"/>
    <n v="44.2457777777785"/>
    <n v="56.570444444446402"/>
    <n v="6.02"/>
    <n v="1.51955555555557"/>
    <n v="41.467999999999599"/>
    <n v="0.39800000000000002"/>
    <x v="0"/>
    <n v="0.4"/>
    <n v="0.4"/>
    <x v="11"/>
  </r>
  <r>
    <x v="0"/>
    <x v="1"/>
    <x v="0"/>
    <n v="46.2379999999999"/>
    <n v="57.472000000001401"/>
    <n v="38.456333333332097"/>
    <n v="48.129000000000403"/>
    <n v="4.3979999999999997"/>
    <n v="1.31499999999999"/>
    <n v="50.527999999999899"/>
    <n v="0.78200000000000003"/>
    <x v="0"/>
    <n v="0.4"/>
    <n v="0.4"/>
    <x v="11"/>
  </r>
  <r>
    <x v="1"/>
    <x v="1"/>
    <x v="0"/>
    <n v="48.547999999999902"/>
    <n v="60.192000000001599"/>
    <n v="41.853444444445302"/>
    <n v="52.270000000003201"/>
    <n v="5.2679999999999998"/>
    <n v="1.16811111111111"/>
    <n v="47.881999999999501"/>
    <n v="0.47799999999999998"/>
    <x v="0"/>
    <n v="0.4"/>
    <n v="0.4"/>
    <x v="11"/>
  </r>
  <r>
    <x v="0"/>
    <x v="0"/>
    <x v="0"/>
    <n v="47.794000000000104"/>
    <n v="59.620000000000701"/>
    <n v="41.363499999998602"/>
    <n v="52.380333333332601"/>
    <n v="4.8040000000000003"/>
    <n v="1.24766666666666"/>
    <n v="47.679999999999801"/>
    <n v="0.318"/>
    <x v="1"/>
    <n v="0.4"/>
    <n v="0.4"/>
    <x v="11"/>
  </r>
  <r>
    <x v="1"/>
    <x v="0"/>
    <x v="0"/>
    <n v="49.513999999999903"/>
    <n v="61.6060000000004"/>
    <n v="44.233777777778897"/>
    <n v="55.718444444446597"/>
    <n v="5.9560000000000004"/>
    <n v="1.06022222222222"/>
    <n v="45.713999999999501"/>
    <n v="0.192"/>
    <x v="1"/>
    <n v="0.4"/>
    <n v="0.4"/>
    <x v="11"/>
  </r>
  <r>
    <x v="0"/>
    <x v="1"/>
    <x v="0"/>
    <n v="46.063999999999801"/>
    <n v="57.222000000001302"/>
    <n v="38.771166666665401"/>
    <n v="48.221833333333599"/>
    <n v="4.6340000000000003"/>
    <n v="1.2765"/>
    <n v="51.193999999999797"/>
    <n v="0.79600000000000004"/>
    <x v="1"/>
    <n v="0.4"/>
    <n v="0.4"/>
    <x v="11"/>
  </r>
  <r>
    <x v="1"/>
    <x v="1"/>
    <x v="0"/>
    <n v="47.561999999999699"/>
    <n v="58.796000000001399"/>
    <n v="41.576777777778702"/>
    <n v="51.362666666669597"/>
    <n v="5.5519999999999996"/>
    <n v="1.0316666666666701"/>
    <n v="49.455999999999399"/>
    <n v="0.64200000000000002"/>
    <x v="1"/>
    <n v="0.4"/>
    <n v="0.4"/>
    <x v="11"/>
  </r>
  <r>
    <x v="0"/>
    <x v="0"/>
    <x v="0"/>
    <n v="43.385999999999001"/>
    <n v="56.329999999999401"/>
    <n v="26.903333333331499"/>
    <n v="38.854499999998303"/>
    <n v="10.622"/>
    <n v="4.8683333333333696"/>
    <n v="54.635999999997701"/>
    <n v="0.52400000000000002"/>
    <x v="2"/>
    <n v="0.4"/>
    <n v="0.4"/>
    <x v="11"/>
  </r>
  <r>
    <x v="1"/>
    <x v="0"/>
    <x v="0"/>
    <n v="45.717999999999002"/>
    <n v="58.917999999998997"/>
    <n v="29.126333333331601"/>
    <n v="41.173333333332501"/>
    <n v="11.603999999999999"/>
    <n v="5.2090000000001204"/>
    <n v="53.5619999999982"/>
    <n v="0.35"/>
    <x v="2"/>
    <n v="0.4"/>
    <n v="0.4"/>
    <x v="11"/>
  </r>
  <r>
    <x v="0"/>
    <x v="1"/>
    <x v="0"/>
    <n v="43.395999999999901"/>
    <n v="61.361999999999902"/>
    <n v="28.278666666664801"/>
    <n v="47.698666666665197"/>
    <n v="9.4"/>
    <n v="4.7906666666667004"/>
    <n v="52.0679999999982"/>
    <n v="1.79199999999999"/>
    <x v="2"/>
    <n v="0.4"/>
    <n v="0.4"/>
    <x v="11"/>
  </r>
  <r>
    <x v="1"/>
    <x v="1"/>
    <x v="0"/>
    <n v="46.237999999999403"/>
    <n v="64.911999999999793"/>
    <n v="30.946777777775999"/>
    <n v="52.461222222222403"/>
    <n v="10.208"/>
    <n v="5.2293333333334697"/>
    <n v="50.503999999998697"/>
    <n v="1.1839999999999999"/>
    <x v="2"/>
    <n v="0.4"/>
    <n v="0.4"/>
    <x v="11"/>
  </r>
  <r>
    <x v="0"/>
    <x v="0"/>
    <x v="0"/>
    <n v="47.811999999999102"/>
    <n v="60.991999999999898"/>
    <n v="37.405166666664698"/>
    <n v="49.497833333332601"/>
    <n v="7.9340000000000002"/>
    <n v="2.3668333333333398"/>
    <n v="39.939999999999898"/>
    <n v="0.7"/>
    <x v="3"/>
    <n v="0.4"/>
    <n v="0.4"/>
    <x v="11"/>
  </r>
  <r>
    <x v="1"/>
    <x v="0"/>
    <x v="0"/>
    <n v="50.759999999999103"/>
    <n v="64.098000000000098"/>
    <n v="41.009333333334098"/>
    <n v="53.252777777778299"/>
    <n v="10.294"/>
    <n v="1.9894444444445001"/>
    <n v="37.2599999999996"/>
    <n v="0.55400000000000005"/>
    <x v="3"/>
    <n v="0.4"/>
    <n v="0.4"/>
    <x v="11"/>
  </r>
  <r>
    <x v="0"/>
    <x v="1"/>
    <x v="0"/>
    <n v="46.301999999999303"/>
    <n v="64.864000000000303"/>
    <n v="36.321833333331597"/>
    <n v="51.096333333333398"/>
    <n v="6.56"/>
    <n v="3.0835000000000399"/>
    <n v="38.327999999999797"/>
    <n v="2.1339999999999901"/>
    <x v="3"/>
    <n v="0.4"/>
    <n v="0.4"/>
    <x v="11"/>
  </r>
  <r>
    <x v="1"/>
    <x v="1"/>
    <x v="0"/>
    <n v="49.077999999998802"/>
    <n v="68.040000000000603"/>
    <n v="39.958555555555499"/>
    <n v="55.348444444445597"/>
    <n v="7.9880000000000004"/>
    <n v="2.76888888888897"/>
    <n v="35.582000000000299"/>
    <n v="1.76999999999999"/>
    <x v="3"/>
    <n v="0.4"/>
    <n v="0.4"/>
    <x v="11"/>
  </r>
  <r>
    <x v="0"/>
    <x v="0"/>
    <x v="0"/>
    <n v="49.159999999999897"/>
    <n v="61.166000000000203"/>
    <n v="42.184166666665"/>
    <n v="53.594166666665799"/>
    <n v="3.452"/>
    <n v="1.931"/>
    <n v="43.977999999999298"/>
    <n v="0.42599999999999999"/>
    <x v="4"/>
    <n v="0.4"/>
    <n v="0.4"/>
    <x v="11"/>
  </r>
  <r>
    <x v="1"/>
    <x v="0"/>
    <x v="0"/>
    <n v="51.119999999999798"/>
    <n v="63.432000000000102"/>
    <n v="45.582333333334297"/>
    <n v="57.332888888891098"/>
    <n v="4.524"/>
    <n v="1.53188888888889"/>
    <n v="41.871999999999701"/>
    <n v="0.248"/>
    <x v="4"/>
    <n v="0.4"/>
    <n v="0.4"/>
    <x v="11"/>
  </r>
  <r>
    <x v="0"/>
    <x v="1"/>
    <x v="0"/>
    <n v="47.271999999999601"/>
    <n v="59.494000000000902"/>
    <n v="39.544833333331802"/>
    <n v="50.252833333333598"/>
    <n v="3.1339999999999999"/>
    <n v="1.915"/>
    <n v="47.605999999999"/>
    <n v="0.97799999999999998"/>
    <x v="4"/>
    <n v="0.4"/>
    <n v="0.4"/>
    <x v="11"/>
  </r>
  <r>
    <x v="1"/>
    <x v="1"/>
    <x v="0"/>
    <n v="49.229999999999599"/>
    <n v="61.858000000000899"/>
    <n v="42.6436666666674"/>
    <n v="53.987555555558799"/>
    <n v="3.9380000000000002"/>
    <n v="1.59622222222222"/>
    <n v="45.6059999999989"/>
    <n v="0.76600000000000001"/>
    <x v="4"/>
    <n v="0.4"/>
    <n v="0.4"/>
    <x v="11"/>
  </r>
  <r>
    <x v="0"/>
    <x v="0"/>
    <x v="0"/>
    <n v="48.172000000000097"/>
    <n v="60.044000000000601"/>
    <n v="41.066666666665299"/>
    <n v="52.016333333332597"/>
    <n v="4.2759999999999998"/>
    <n v="1.359"/>
    <n v="46.8699999999996"/>
    <n v="0.34"/>
    <x v="5"/>
    <n v="0.4"/>
    <n v="0.4"/>
    <x v="11"/>
  </r>
  <r>
    <x v="1"/>
    <x v="0"/>
    <x v="0"/>
    <n v="50.34"/>
    <n v="62.414000000000499"/>
    <n v="44.482777777778701"/>
    <n v="55.794666666668803"/>
    <n v="5.4980000000000002"/>
    <n v="1.0209999999999999"/>
    <n v="44.333999999999399"/>
    <n v="0.17799999999999999"/>
    <x v="5"/>
    <n v="0.4"/>
    <n v="0.4"/>
    <x v="11"/>
  </r>
  <r>
    <x v="0"/>
    <x v="1"/>
    <x v="0"/>
    <n v="46.267999999999802"/>
    <n v="57.840000000001403"/>
    <n v="38.492333333332098"/>
    <n v="48.156833333333601"/>
    <n v="3.89"/>
    <n v="1.3056666666666601"/>
    <n v="50.513999999999498"/>
    <n v="0.79400000000000004"/>
    <x v="5"/>
    <n v="0.4"/>
    <n v="0.4"/>
    <x v="11"/>
  </r>
  <r>
    <x v="1"/>
    <x v="1"/>
    <x v="0"/>
    <n v="47.929999999999801"/>
    <n v="59.7840000000012"/>
    <n v="41.372000000000803"/>
    <n v="51.569666666669796"/>
    <n v="4.88"/>
    <n v="1.10911111111111"/>
    <n v="48.305999999999202"/>
    <n v="0.71799999999999997"/>
    <x v="5"/>
    <n v="0.4"/>
    <n v="0.4"/>
    <x v="11"/>
  </r>
  <r>
    <x v="0"/>
    <x v="0"/>
    <x v="0"/>
    <n v="45.732000000000298"/>
    <n v="56.984000000000798"/>
    <n v="40.027833333331998"/>
    <n v="50.591499999999201"/>
    <n v="10.141999999999999"/>
    <n v="1.1078333333333299"/>
    <n v="49.049999999999798"/>
    <n v="0.25800000000000001"/>
    <x v="6"/>
    <n v="0.4"/>
    <n v="0.4"/>
    <x v="11"/>
  </r>
  <r>
    <x v="1"/>
    <x v="0"/>
    <x v="0"/>
    <n v="46.6180000000004"/>
    <n v="58.1720000000008"/>
    <n v="42.415111111112097"/>
    <n v="53.4353333333354"/>
    <n v="12.442"/>
    <n v="0.83577777777777496"/>
    <n v="47.985999999999599"/>
    <n v="0.128"/>
    <x v="6"/>
    <n v="0.4"/>
    <n v="0.4"/>
    <x v="11"/>
  </r>
  <r>
    <x v="0"/>
    <x v="1"/>
    <x v="0"/>
    <n v="43.7620000000001"/>
    <n v="54.706000000001097"/>
    <n v="37.451333333332101"/>
    <n v="46.6878333333336"/>
    <n v="9.2279999999999998"/>
    <n v="1.10299999999999"/>
    <n v="52.624000000000201"/>
    <n v="0.68799999999999994"/>
    <x v="6"/>
    <n v="0.4"/>
    <n v="0.4"/>
    <x v="11"/>
  </r>
  <r>
    <x v="1"/>
    <x v="1"/>
    <x v="0"/>
    <n v="44.570000000000199"/>
    <n v="55.494000000001201"/>
    <n v="39.601333333334203"/>
    <n v="49.141333333336298"/>
    <n v="11.071999999999999"/>
    <n v="0.85877777777777498"/>
    <n v="51.561999999999799"/>
    <n v="0.54600000000000004"/>
    <x v="6"/>
    <n v="0.4"/>
    <n v="0.4"/>
    <x v="11"/>
  </r>
  <r>
    <x v="2"/>
    <x v="2"/>
    <x v="1"/>
    <m/>
    <m/>
    <m/>
    <m/>
    <m/>
    <m/>
    <m/>
    <m/>
    <x v="7"/>
    <m/>
    <m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2F63A2-FDEC-4BB1-9768-655D04E27D9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5:H27" firstHeaderRow="0" firstDataRow="1" firstDataCol="2" rowPageCount="3" colPageCount="1"/>
  <pivotFields count="15">
    <pivotField axis="axisPage" compact="0" outline="0" multipleItemSelectionAllowed="1" showAll="0" defaultSubtotal="0">
      <items count="3">
        <item h="1" x="0"/>
        <item x="1"/>
        <item h="1"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8">
        <item x="0"/>
        <item x="1"/>
        <item x="4"/>
        <item x="6"/>
        <item x="5"/>
        <item x="2"/>
        <item x="3"/>
        <item x="7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3">
        <item h="1" x="0"/>
        <item h="1" x="1"/>
        <item h="1"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</items>
    </pivotField>
  </pivotFields>
  <rowFields count="2">
    <field x="14"/>
    <field x="11"/>
  </rowFields>
  <rowItems count="22"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3">
    <pageField fld="2" item="0" hier="-1"/>
    <pageField fld="1" item="0" hier="-1"/>
    <pageField fld="0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71B2AE-1BB3-452D-B188-E54E504764E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5:H27" firstHeaderRow="0" firstDataRow="1" firstDataCol="2" rowPageCount="3" colPageCount="1"/>
  <pivotFields count="15">
    <pivotField axis="axisPage" compact="0" outline="0" multipleItemSelectionAllowed="1" showAll="0" defaultSubtotal="0">
      <items count="3">
        <item h="1" x="0"/>
        <item x="1"/>
        <item h="1"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8">
        <item x="0"/>
        <item x="1"/>
        <item x="4"/>
        <item x="6"/>
        <item x="5"/>
        <item x="2"/>
        <item x="3"/>
        <item x="7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3">
        <item h="1" x="0"/>
        <item h="1" x="1"/>
        <item h="1"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</items>
    </pivotField>
  </pivotFields>
  <rowFields count="2">
    <field x="14"/>
    <field x="11"/>
  </rowFields>
  <rowItems count="22"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3">
    <pageField fld="2" item="0" hier="-1"/>
    <pageField fld="1" item="1" hier="-1"/>
    <pageField fld="0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95FCCC-0334-4839-81BB-A08195BA597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5:H34" firstHeaderRow="0" firstDataRow="1" firstDataCol="2" rowPageCount="3" colPageCount="1"/>
  <pivotFields count="15">
    <pivotField axis="axisPage" compact="0" outline="0" multipleItemSelectionAllowed="1" showAll="0" defaultSubtotal="0">
      <items count="3">
        <item h="1" x="0"/>
        <item x="1"/>
        <item h="1"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8">
        <item x="0"/>
        <item x="1"/>
        <item x="4"/>
        <item x="6"/>
        <item x="5"/>
        <item x="2"/>
        <item x="3"/>
        <item x="7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3">
        <item h="1" x="0"/>
        <item x="1"/>
        <item h="1" x="2"/>
        <item h="1" x="3"/>
        <item x="4"/>
        <item h="1" x="5"/>
        <item h="1" x="6"/>
        <item x="7"/>
        <item h="1" x="8"/>
        <item h="1" x="9"/>
        <item x="10"/>
        <item h="1" x="11"/>
        <item h="1" x="12"/>
      </items>
    </pivotField>
  </pivotFields>
  <rowFields count="2">
    <field x="14"/>
    <field x="11"/>
  </rowFields>
  <rowItems count="2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3">
    <pageField fld="2" item="0" hier="-1"/>
    <pageField fld="1" item="0" hier="-1"/>
    <pageField fld="0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E620CB-79BB-4D87-8D79-3975CBCE6C3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compact="0" compactData="0" multipleFieldFilters="0">
  <location ref="A5:H34" firstHeaderRow="0" firstDataRow="1" firstDataCol="2" rowPageCount="3" colPageCount="1"/>
  <pivotFields count="15">
    <pivotField axis="axisPage" compact="0" outline="0" multipleItemSelectionAllowed="1" showAll="0" defaultSubtotal="0">
      <items count="3">
        <item h="1" x="0"/>
        <item x="1"/>
        <item h="1" x="2"/>
      </items>
    </pivotField>
    <pivotField axis="axisPage" compact="0" outline="0" showAll="0" defaultSubtotal="0">
      <items count="3">
        <item x="0"/>
        <item x="1"/>
        <item x="2"/>
      </items>
    </pivotField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ubtotalTop="0" showAll="0" defaultSubtotal="0"/>
    <pivotField axis="axisRow" compact="0" outline="0" subtotalTop="0" showAll="0" defaultSubtotal="0">
      <items count="8">
        <item x="0"/>
        <item x="1"/>
        <item x="4"/>
        <item x="6"/>
        <item x="5"/>
        <item x="2"/>
        <item x="3"/>
        <item x="7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3">
        <item h="1" x="0"/>
        <item x="1"/>
        <item h="1" x="2"/>
        <item h="1" x="3"/>
        <item x="4"/>
        <item h="1" x="5"/>
        <item h="1" x="6"/>
        <item x="7"/>
        <item h="1" x="8"/>
        <item h="1" x="9"/>
        <item x="10"/>
        <item h="1" x="11"/>
        <item h="1" x="12"/>
      </items>
    </pivotField>
  </pivotFields>
  <rowFields count="2">
    <field x="14"/>
    <field x="11"/>
  </rowFields>
  <rowItems count="2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3">
    <pageField fld="2" item="0" hier="-1"/>
    <pageField fld="1" item="1" hier="-1"/>
    <pageField fld="0" hier="-1"/>
  </pageFields>
  <dataFields count="6">
    <dataField name="Sum of bd.sel" fld="3" baseField="0" baseItem="0"/>
    <dataField name="Sum of od.sel" fld="4" baseField="0" baseItem="0"/>
    <dataField name="Sum of bd.pts" fld="5" baseField="0" baseItem="0"/>
    <dataField name="Sum of poorall" fld="9" baseField="0" baseItem="0"/>
    <dataField name="Sum of overdose" fld="8" baseField="0" baseItem="0"/>
    <dataField name="Sum of ov.sel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727F-3EF8-4603-B573-0D65821A1C4D}">
  <dimension ref="A2:J49"/>
  <sheetViews>
    <sheetView tabSelected="1" topLeftCell="A29" workbookViewId="0">
      <selection activeCell="C41" sqref="C41"/>
    </sheetView>
  </sheetViews>
  <sheetFormatPr defaultRowHeight="14.75"/>
  <sheetData>
    <row r="2" spans="1:10">
      <c r="A2" t="s">
        <v>51</v>
      </c>
      <c r="B2" t="s">
        <v>50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  <c r="H2" t="s">
        <v>38</v>
      </c>
      <c r="I2" t="s">
        <v>39</v>
      </c>
      <c r="J2" t="s">
        <v>40</v>
      </c>
    </row>
    <row r="3" spans="1:10">
      <c r="A3">
        <v>0.3</v>
      </c>
      <c r="B3">
        <v>0.1</v>
      </c>
      <c r="C3" t="str">
        <f>utility_zetaE!K6</f>
        <v>uTPI</v>
      </c>
      <c r="D3" s="6">
        <f>utility_zetaE!L6</f>
        <v>46.467999999999201</v>
      </c>
      <c r="E3" s="6">
        <f>utility_zetaE!M6</f>
        <v>62.867999999999498</v>
      </c>
      <c r="F3" s="8">
        <f>utility_zetaE!N6</f>
        <v>38.5511111111106</v>
      </c>
      <c r="G3" s="6">
        <f>utility_zetaE!O6</f>
        <v>43.737999999999701</v>
      </c>
      <c r="H3" s="6">
        <f>utility_zetaE!P6</f>
        <v>3.5195555555556601</v>
      </c>
      <c r="I3" s="6">
        <f>utility_zetaE!Q6</f>
        <v>0.56200000000000006</v>
      </c>
      <c r="J3" s="7" t="str">
        <f>utility_zetaE!R6 &amp; " ("&amp;TEXT(utility_zetaE!S6,"0.00")&amp;")"</f>
        <v>1 (2.83)</v>
      </c>
    </row>
    <row r="4" spans="1:10">
      <c r="C4" t="str">
        <f>utility_zetaE!K7</f>
        <v>BOIN-ET</v>
      </c>
      <c r="D4" s="6">
        <f>utility_zetaE!L7</f>
        <v>45.721999999999099</v>
      </c>
      <c r="E4" s="6">
        <f>utility_zetaE!M7</f>
        <v>61.277999999999103</v>
      </c>
      <c r="F4" s="6">
        <f>utility_zetaE!N7</f>
        <v>38.453333333332999</v>
      </c>
      <c r="G4" s="6">
        <f>utility_zetaE!O7</f>
        <v>47.033999999999203</v>
      </c>
      <c r="H4" s="6">
        <f>utility_zetaE!P7</f>
        <v>4.2023333333334403</v>
      </c>
      <c r="I4" s="6">
        <f>utility_zetaE!Q7</f>
        <v>0.43</v>
      </c>
      <c r="J4" t="str">
        <f>utility_zetaE!R7 &amp; " ("&amp;TEXT(utility_zetaE!S7,"0.00")&amp;")"</f>
        <v>3 (3.50)</v>
      </c>
    </row>
    <row r="5" spans="1:10">
      <c r="C5" t="str">
        <f>utility_zetaE!K8</f>
        <v>Joint3+3</v>
      </c>
      <c r="D5" s="6">
        <f>utility_zetaE!L8</f>
        <v>45.363999999999201</v>
      </c>
      <c r="E5" s="6">
        <f>utility_zetaE!M8</f>
        <v>61.681999999998702</v>
      </c>
      <c r="F5" s="6">
        <f>utility_zetaE!N8</f>
        <v>37.492888888888203</v>
      </c>
      <c r="G5" s="6">
        <f>utility_zetaE!O8</f>
        <v>48.327999999999001</v>
      </c>
      <c r="H5" s="6">
        <f>utility_zetaE!P8</f>
        <v>5.5155555555557001</v>
      </c>
      <c r="I5" s="6">
        <f>utility_zetaE!Q8</f>
        <v>0.49399999999999999</v>
      </c>
      <c r="J5" t="str">
        <f>utility_zetaE!R8 &amp; " ("&amp;TEXT(utility_zetaE!S8,"0.00")&amp;")"</f>
        <v>5 (4.33)</v>
      </c>
    </row>
    <row r="6" spans="1:10">
      <c r="C6" t="str">
        <f>utility_zetaE!K9</f>
        <v>STEIN</v>
      </c>
      <c r="D6" s="6">
        <f>utility_zetaE!L9</f>
        <v>45.271999999999302</v>
      </c>
      <c r="E6" s="6">
        <f>utility_zetaE!M9</f>
        <v>61.008000000000003</v>
      </c>
      <c r="F6" s="6">
        <f>utility_zetaE!N9</f>
        <v>37.152777777777501</v>
      </c>
      <c r="G6" s="6">
        <f>utility_zetaE!O9</f>
        <v>44.932000000000201</v>
      </c>
      <c r="H6" s="8">
        <f>utility_zetaE!P9</f>
        <v>2.2613333333333601</v>
      </c>
      <c r="I6" s="6">
        <f>utility_zetaE!Q9</f>
        <v>0.432</v>
      </c>
      <c r="J6" t="str">
        <f>utility_zetaE!R9 &amp; " ("&amp;TEXT(utility_zetaE!S9,"0.00")&amp;")"</f>
        <v>4 (3.83)</v>
      </c>
    </row>
    <row r="7" spans="1:10">
      <c r="C7" t="str">
        <f>utility_zetaE!K10</f>
        <v>PRINTE</v>
      </c>
      <c r="D7" s="6">
        <f>utility_zetaE!L10</f>
        <v>44.475999999998997</v>
      </c>
      <c r="E7" s="6">
        <f>utility_zetaE!M10</f>
        <v>60.489999999999299</v>
      </c>
      <c r="F7" s="6">
        <f>utility_zetaE!N10</f>
        <v>36.029666666666202</v>
      </c>
      <c r="G7" s="6">
        <f>utility_zetaE!O10</f>
        <v>49.909999999998597</v>
      </c>
      <c r="H7" s="6">
        <f>utility_zetaE!P10</f>
        <v>3.2436666666667202</v>
      </c>
      <c r="I7" s="8">
        <f>utility_zetaE!Q10</f>
        <v>0.40200000000000002</v>
      </c>
      <c r="J7" t="str">
        <f>utility_zetaE!R10 &amp; " ("&amp;TEXT(utility_zetaE!S10,"0.00")&amp;")"</f>
        <v>6 (4.83)</v>
      </c>
    </row>
    <row r="8" spans="1:10">
      <c r="C8" t="str">
        <f>utility_zetaE!K11</f>
        <v>TEPI</v>
      </c>
      <c r="D8" s="6">
        <f>utility_zetaE!L11</f>
        <v>44.809999999999199</v>
      </c>
      <c r="E8" s="6">
        <f>utility_zetaE!M11</f>
        <v>62.2479999999982</v>
      </c>
      <c r="F8" s="6">
        <f>utility_zetaE!N11</f>
        <v>30.638666666664601</v>
      </c>
      <c r="G8" s="6">
        <f>utility_zetaE!O11</f>
        <v>56.531999999998597</v>
      </c>
      <c r="H8" s="6">
        <f>utility_zetaE!P11</f>
        <v>6.8496666666668702</v>
      </c>
      <c r="I8" s="6">
        <f>utility_zetaE!Q11</f>
        <v>0.55800000000000005</v>
      </c>
      <c r="J8" t="str">
        <f>utility_zetaE!R11 &amp; " ("&amp;TEXT(utility_zetaE!S11,"0.00")&amp;")"</f>
        <v>7 (5.83)</v>
      </c>
    </row>
    <row r="9" spans="1:10">
      <c r="C9" t="str">
        <f>utility_zetaE!K12</f>
        <v>BOIN12</v>
      </c>
      <c r="D9" s="8">
        <f>utility_zetaE!L12</f>
        <v>47.237999999998799</v>
      </c>
      <c r="E9" s="8">
        <f>utility_zetaE!M12</f>
        <v>64.075999999999695</v>
      </c>
      <c r="F9" s="6">
        <f>utility_zetaE!N12</f>
        <v>37.158555555555303</v>
      </c>
      <c r="G9" s="8">
        <f>utility_zetaE!O12</f>
        <v>39.309999999999597</v>
      </c>
      <c r="H9" s="6">
        <f>utility_zetaE!P12</f>
        <v>3.3144444444445602</v>
      </c>
      <c r="I9" s="6">
        <f>utility_zetaE!Q12</f>
        <v>0.74399999999999999</v>
      </c>
      <c r="J9" t="str">
        <f>utility_zetaE!R12 &amp; " ("&amp;TEXT(utility_zetaE!S12,"0.00")&amp;")"</f>
        <v>1 (2.83)</v>
      </c>
    </row>
    <row r="10" spans="1:10">
      <c r="D10" s="8"/>
      <c r="E10" s="8"/>
      <c r="F10" s="6"/>
      <c r="G10" s="8"/>
      <c r="H10" s="6"/>
      <c r="I10" s="6"/>
    </row>
    <row r="11" spans="1:10">
      <c r="A11">
        <v>0.3</v>
      </c>
      <c r="B11">
        <v>0.2</v>
      </c>
      <c r="C11" t="str">
        <f>utility_zetaE!K13</f>
        <v>uTPI</v>
      </c>
      <c r="D11" s="6">
        <f>utility_zetaE!L13</f>
        <v>48.1359999999992</v>
      </c>
      <c r="E11" s="6">
        <f>utility_zetaE!M13</f>
        <v>63.397999999999897</v>
      </c>
      <c r="F11" s="6">
        <f>utility_zetaE!N13</f>
        <v>40.501777777777399</v>
      </c>
      <c r="G11" s="5">
        <f>utility_zetaE!O13</f>
        <v>43.107999999999599</v>
      </c>
      <c r="H11" s="6">
        <f>utility_zetaE!P13</f>
        <v>2.9887777777778402</v>
      </c>
      <c r="I11" s="6">
        <f>utility_zetaE!Q13</f>
        <v>0.40799999999999997</v>
      </c>
      <c r="J11" s="7" t="str">
        <f>utility_zetaE!R13 &amp; " ("&amp;TEXT(utility_zetaE!S13,"0.00")&amp;")"</f>
        <v>1 (2.50)</v>
      </c>
    </row>
    <row r="12" spans="1:10">
      <c r="C12" t="str">
        <f>utility_zetaE!K14</f>
        <v>BOIN-ET</v>
      </c>
      <c r="D12" s="6">
        <f>utility_zetaE!L14</f>
        <v>46.5079999999992</v>
      </c>
      <c r="E12" s="6">
        <f>utility_zetaE!M14</f>
        <v>61.291999999999298</v>
      </c>
      <c r="F12" s="8">
        <f>utility_zetaE!N14</f>
        <v>40.566222222222102</v>
      </c>
      <c r="G12" s="5">
        <f>utility_zetaE!O14</f>
        <v>45.9039999999994</v>
      </c>
      <c r="H12" s="6">
        <f>utility_zetaE!P14</f>
        <v>3.4104444444444999</v>
      </c>
      <c r="I12" s="8">
        <f>utility_zetaE!Q14</f>
        <v>0.36</v>
      </c>
      <c r="J12" s="7" t="str">
        <f>utility_zetaE!R14 &amp; " ("&amp;TEXT(utility_zetaE!S14,"0.00")&amp;")"</f>
        <v>3 (3.17)</v>
      </c>
    </row>
    <row r="13" spans="1:10">
      <c r="C13" t="str">
        <f>utility_zetaE!K15</f>
        <v>Joint3+3</v>
      </c>
      <c r="D13" s="6">
        <f>utility_zetaE!L15</f>
        <v>46.463999999999103</v>
      </c>
      <c r="E13" s="6">
        <f>utility_zetaE!M15</f>
        <v>61.799999999998903</v>
      </c>
      <c r="F13" s="6">
        <f>utility_zetaE!N15</f>
        <v>39.7316666666663</v>
      </c>
      <c r="G13" s="6">
        <f>utility_zetaE!O15</f>
        <v>45.823999999999501</v>
      </c>
      <c r="H13" s="6">
        <f>utility_zetaE!P15</f>
        <v>4.3657777777778604</v>
      </c>
      <c r="I13" s="6">
        <f>utility_zetaE!Q15</f>
        <v>0.44600000000000001</v>
      </c>
      <c r="J13" s="7" t="str">
        <f>utility_zetaE!R15 &amp; " ("&amp;TEXT(utility_zetaE!S15,"0.00")&amp;")"</f>
        <v>4 (4.17)</v>
      </c>
    </row>
    <row r="14" spans="1:10">
      <c r="C14" t="str">
        <f>utility_zetaE!K16</f>
        <v>STEIN</v>
      </c>
      <c r="D14" s="6">
        <f>utility_zetaE!L16</f>
        <v>45.621999999999296</v>
      </c>
      <c r="E14" s="6">
        <f>utility_zetaE!M16</f>
        <v>60.236000000000203</v>
      </c>
      <c r="F14" s="6">
        <f>utility_zetaE!N16</f>
        <v>38.630999999999801</v>
      </c>
      <c r="G14" s="5">
        <f>utility_zetaE!O16</f>
        <v>46.360000000000198</v>
      </c>
      <c r="H14" s="8">
        <f>utility_zetaE!P16</f>
        <v>1.76233333333334</v>
      </c>
      <c r="I14" s="6">
        <f>utility_zetaE!Q16</f>
        <v>0.38200000000000001</v>
      </c>
      <c r="J14" s="7" t="str">
        <f>utility_zetaE!R16 &amp; " ("&amp;TEXT(utility_zetaE!S16,"0.00")&amp;")"</f>
        <v>4 (4.17)</v>
      </c>
    </row>
    <row r="15" spans="1:10">
      <c r="C15" t="str">
        <f>utility_zetaE!K17</f>
        <v>PRINTE</v>
      </c>
      <c r="D15" s="6">
        <f>utility_zetaE!L17</f>
        <v>45.125999999999202</v>
      </c>
      <c r="E15" s="6">
        <f>utility_zetaE!M17</f>
        <v>59.989999999999597</v>
      </c>
      <c r="F15" s="6">
        <f>utility_zetaE!N17</f>
        <v>37.941888888888499</v>
      </c>
      <c r="G15" s="5">
        <f>utility_zetaE!O17</f>
        <v>48.331999999998999</v>
      </c>
      <c r="H15" s="6">
        <f>utility_zetaE!P17</f>
        <v>2.5346666666666899</v>
      </c>
      <c r="I15" s="6">
        <f>utility_zetaE!Q17</f>
        <v>0.40600000000000003</v>
      </c>
      <c r="J15" s="7" t="str">
        <f>utility_zetaE!R17 &amp; " ("&amp;TEXT(utility_zetaE!S17,"0.00")&amp;")"</f>
        <v>6 (5.17)</v>
      </c>
    </row>
    <row r="16" spans="1:10">
      <c r="C16" t="str">
        <f>utility_zetaE!K18</f>
        <v>TEPI</v>
      </c>
      <c r="D16" s="6">
        <f>utility_zetaE!L18</f>
        <v>45.641999999999101</v>
      </c>
      <c r="E16" s="6">
        <f>utility_zetaE!M18</f>
        <v>62.077999999998397</v>
      </c>
      <c r="F16" s="6">
        <f>utility_zetaE!N18</f>
        <v>30.521222222220299</v>
      </c>
      <c r="G16" s="5">
        <f>utility_zetaE!O18</f>
        <v>55.853999999998898</v>
      </c>
      <c r="H16" s="6">
        <f>utility_zetaE!P18</f>
        <v>6.9010000000002201</v>
      </c>
      <c r="I16" s="6">
        <f>utility_zetaE!Q18</f>
        <v>0.53800000000000003</v>
      </c>
      <c r="J16" s="7" t="str">
        <f>utility_zetaE!R18 &amp; " ("&amp;TEXT(utility_zetaE!S18,"0.00")&amp;")"</f>
        <v>7 (5.83)</v>
      </c>
    </row>
    <row r="17" spans="1:10">
      <c r="C17" t="str">
        <f>utility_zetaE!K19</f>
        <v>BOIN12</v>
      </c>
      <c r="D17" s="8">
        <f>utility_zetaE!L19</f>
        <v>48.847999999998798</v>
      </c>
      <c r="E17" s="8">
        <f>utility_zetaE!M19</f>
        <v>64.83</v>
      </c>
      <c r="F17" s="6">
        <f>utility_zetaE!N19</f>
        <v>38.730444444444402</v>
      </c>
      <c r="G17" s="8">
        <f>utility_zetaE!O19</f>
        <v>37.481999999999601</v>
      </c>
      <c r="H17" s="6">
        <f>utility_zetaE!P19</f>
        <v>3.1225555555556599</v>
      </c>
      <c r="I17" s="6">
        <f>utility_zetaE!Q19</f>
        <v>0.66400000000000003</v>
      </c>
      <c r="J17" s="7" t="str">
        <f>utility_zetaE!R19 &amp; " ("&amp;TEXT(utility_zetaE!S19,"0.00")&amp;")"</f>
        <v>2 (3.00)</v>
      </c>
    </row>
    <row r="18" spans="1:10">
      <c r="D18" s="8"/>
      <c r="E18" s="8"/>
      <c r="F18" s="6"/>
      <c r="G18" s="8"/>
      <c r="H18" s="6"/>
      <c r="I18" s="6"/>
    </row>
    <row r="19" spans="1:10">
      <c r="A19">
        <v>0.3</v>
      </c>
      <c r="B19">
        <v>0.3</v>
      </c>
      <c r="C19" t="str">
        <f>utility_zetaE!K20</f>
        <v>uTPI</v>
      </c>
      <c r="D19" s="6">
        <f>utility_zetaE!L20</f>
        <v>49.875999999999401</v>
      </c>
      <c r="E19" s="6">
        <f>utility_zetaE!M20</f>
        <v>64.150000000000006</v>
      </c>
      <c r="F19" s="8">
        <f>utility_zetaE!N20</f>
        <v>42.949111111111201</v>
      </c>
      <c r="G19" s="5">
        <f>utility_zetaE!O20</f>
        <v>42.549999999999599</v>
      </c>
      <c r="H19" s="6">
        <f>utility_zetaE!P20</f>
        <v>2.3524444444444601</v>
      </c>
      <c r="I19" s="6">
        <f>utility_zetaE!Q20</f>
        <v>0.38400000000000001</v>
      </c>
      <c r="J19" s="7" t="str">
        <f>utility_zetaE!R20 &amp; " ("&amp;TEXT(utility_zetaE!S20,"0.00")&amp;")"</f>
        <v>1 (2.67)</v>
      </c>
    </row>
    <row r="20" spans="1:10">
      <c r="C20" t="str">
        <f>utility_zetaE!K21</f>
        <v>BOIN-ET</v>
      </c>
      <c r="D20" s="6">
        <f>utility_zetaE!L21</f>
        <v>47.259999999999302</v>
      </c>
      <c r="E20" s="6">
        <f>utility_zetaE!M21</f>
        <v>61.531999999999698</v>
      </c>
      <c r="F20" s="6">
        <f>utility_zetaE!N21</f>
        <v>42.487555555555701</v>
      </c>
      <c r="G20" s="5">
        <f>utility_zetaE!O21</f>
        <v>45.879999999999399</v>
      </c>
      <c r="H20" s="6">
        <f>utility_zetaE!P21</f>
        <v>2.2607777777778</v>
      </c>
      <c r="I20" s="6">
        <f>utility_zetaE!Q21</f>
        <v>0.27600000000000002</v>
      </c>
      <c r="J20" s="7" t="str">
        <f>utility_zetaE!R21 &amp; " ("&amp;TEXT(utility_zetaE!S21,"0.00")&amp;")"</f>
        <v>4 (3.50)</v>
      </c>
    </row>
    <row r="21" spans="1:10">
      <c r="C21" t="str">
        <f>utility_zetaE!K22</f>
        <v>Joint3+3</v>
      </c>
      <c r="D21" s="6">
        <f>utility_zetaE!L22</f>
        <v>48.575999999999397</v>
      </c>
      <c r="E21" s="6">
        <f>utility_zetaE!M22</f>
        <v>62.821999999999697</v>
      </c>
      <c r="F21" s="6">
        <f>utility_zetaE!N22</f>
        <v>42.833666666666801</v>
      </c>
      <c r="G21" s="6">
        <f>utility_zetaE!O22</f>
        <v>43.953999999999802</v>
      </c>
      <c r="H21" s="6">
        <f>utility_zetaE!P22</f>
        <v>2.7512222222222502</v>
      </c>
      <c r="I21" s="6">
        <f>utility_zetaE!Q22</f>
        <v>0.30599999999999999</v>
      </c>
      <c r="J21" s="7" t="str">
        <f>utility_zetaE!R22 &amp; " ("&amp;TEXT(utility_zetaE!S22,"0.00")&amp;")"</f>
        <v>2 (3.33)</v>
      </c>
    </row>
    <row r="22" spans="1:10">
      <c r="C22" t="str">
        <f>utility_zetaE!K23</f>
        <v>STEIN</v>
      </c>
      <c r="D22" s="6">
        <f>utility_zetaE!L23</f>
        <v>43.831999999999802</v>
      </c>
      <c r="E22" s="6">
        <f>utility_zetaE!M23</f>
        <v>56.878000000000696</v>
      </c>
      <c r="F22" s="6">
        <f>utility_zetaE!N23</f>
        <v>38.814111111111302</v>
      </c>
      <c r="G22" s="5">
        <f>utility_zetaE!O23</f>
        <v>50.468000000000004</v>
      </c>
      <c r="H22" s="8">
        <f>utility_zetaE!P23</f>
        <v>1.0248888888888901</v>
      </c>
      <c r="I22" s="8">
        <f>utility_zetaE!Q23</f>
        <v>0.2</v>
      </c>
      <c r="J22" s="7" t="str">
        <f>utility_zetaE!R23 &amp; " ("&amp;TEXT(utility_zetaE!S23,"0.00")&amp;")"</f>
        <v>6 (4.67)</v>
      </c>
    </row>
    <row r="23" spans="1:10">
      <c r="C23" t="str">
        <f>utility_zetaE!K24</f>
        <v>PRINTE</v>
      </c>
      <c r="D23" s="6">
        <f>utility_zetaE!L24</f>
        <v>46.197999999999702</v>
      </c>
      <c r="E23" s="6">
        <f>utility_zetaE!M24</f>
        <v>59.970000000000297</v>
      </c>
      <c r="F23" s="6">
        <f>utility_zetaE!N24</f>
        <v>40.064444444444398</v>
      </c>
      <c r="G23" s="5">
        <f>utility_zetaE!O24</f>
        <v>47.893999999999302</v>
      </c>
      <c r="H23" s="6">
        <f>utility_zetaE!P24</f>
        <v>1.54355555555556</v>
      </c>
      <c r="I23" s="6">
        <f>utility_zetaE!Q24</f>
        <v>0.26</v>
      </c>
      <c r="J23" s="7" t="str">
        <f>utility_zetaE!R24 &amp; " ("&amp;TEXT(utility_zetaE!S24,"0.00")&amp;")"</f>
        <v>5 (4.17)</v>
      </c>
    </row>
    <row r="24" spans="1:10">
      <c r="C24" t="str">
        <f>utility_zetaE!K25</f>
        <v>TEPI</v>
      </c>
      <c r="D24" s="6">
        <f>utility_zetaE!L25</f>
        <v>45.579999999999202</v>
      </c>
      <c r="E24" s="6">
        <f>utility_zetaE!M25</f>
        <v>61.453999999998402</v>
      </c>
      <c r="F24" s="6">
        <f>utility_zetaE!N25</f>
        <v>30.708888888887</v>
      </c>
      <c r="G24" s="5">
        <f>utility_zetaE!O25</f>
        <v>55.493999999998998</v>
      </c>
      <c r="H24" s="6">
        <f>utility_zetaE!P25</f>
        <v>6.6203333333335399</v>
      </c>
      <c r="I24" s="6">
        <f>utility_zetaE!Q25</f>
        <v>0.47799999999999998</v>
      </c>
      <c r="J24" s="7" t="str">
        <f>utility_zetaE!R25 &amp; " ("&amp;TEXT(utility_zetaE!S25,"0.00")&amp;")"</f>
        <v>7 (6.33)</v>
      </c>
    </row>
    <row r="25" spans="1:10">
      <c r="C25" t="str">
        <f>utility_zetaE!K26</f>
        <v>BOIN12</v>
      </c>
      <c r="D25" s="8">
        <f>utility_zetaE!L26</f>
        <v>50.115999999998699</v>
      </c>
      <c r="E25" s="8">
        <f>utility_zetaE!M26</f>
        <v>65.802000000000007</v>
      </c>
      <c r="F25" s="6">
        <f>utility_zetaE!N26</f>
        <v>40.6345555555557</v>
      </c>
      <c r="G25" s="8">
        <f>utility_zetaE!O26</f>
        <v>36.143999999999998</v>
      </c>
      <c r="H25" s="6">
        <f>utility_zetaE!P26</f>
        <v>2.83722222222231</v>
      </c>
      <c r="I25" s="6">
        <f>utility_zetaE!Q26</f>
        <v>0.65</v>
      </c>
      <c r="J25" s="7" t="str">
        <f>utility_zetaE!R26 &amp; " ("&amp;TEXT(utility_zetaE!S26,"0.00")&amp;")"</f>
        <v>2 (3.33)</v>
      </c>
    </row>
    <row r="26" spans="1:10">
      <c r="D26" s="8"/>
      <c r="E26" s="8"/>
      <c r="F26" s="6"/>
      <c r="G26" s="8"/>
      <c r="H26" s="6"/>
      <c r="I26" s="6"/>
    </row>
    <row r="27" spans="1:10">
      <c r="A27">
        <v>0.3</v>
      </c>
      <c r="B27">
        <v>0.4</v>
      </c>
      <c r="C27" t="str">
        <f>utility_zetaE!K27</f>
        <v>uTPI</v>
      </c>
      <c r="D27" s="6">
        <f>utility_zetaE!L27</f>
        <v>51.199999999999797</v>
      </c>
      <c r="E27" s="6">
        <f>utility_zetaE!M27</f>
        <v>64.522000000000503</v>
      </c>
      <c r="F27" s="6">
        <f>utility_zetaE!N27</f>
        <v>44.920555555556398</v>
      </c>
      <c r="G27" s="5">
        <f>utility_zetaE!O27</f>
        <v>42.609999999999502</v>
      </c>
      <c r="H27" s="5">
        <f>utility_zetaE!P27</f>
        <v>1.5644444444444501</v>
      </c>
      <c r="I27" s="6">
        <f>utility_zetaE!Q27</f>
        <v>0.27400000000000002</v>
      </c>
      <c r="J27" s="7" t="str">
        <f>utility_zetaE!R27 &amp; " ("&amp;TEXT(utility_zetaE!S27,"0.00")&amp;")"</f>
        <v>2 (3.00)</v>
      </c>
    </row>
    <row r="28" spans="1:10">
      <c r="C28" t="str">
        <f>utility_zetaE!K28</f>
        <v>BOIN-ET</v>
      </c>
      <c r="D28" s="6">
        <f>utility_zetaE!L28</f>
        <v>48.937999999999697</v>
      </c>
      <c r="E28" s="6">
        <f>utility_zetaE!M28</f>
        <v>62.332000000000299</v>
      </c>
      <c r="F28" s="6">
        <f>utility_zetaE!N28</f>
        <v>44.276444444445303</v>
      </c>
      <c r="G28" s="5">
        <f>utility_zetaE!O28</f>
        <v>45.949999999999299</v>
      </c>
      <c r="H28" s="5">
        <f>utility_zetaE!P28</f>
        <v>1.2661111111111101</v>
      </c>
      <c r="I28" s="6">
        <f>utility_zetaE!Q28</f>
        <v>0.186</v>
      </c>
      <c r="J28" s="7" t="str">
        <f>utility_zetaE!R28 &amp; " ("&amp;TEXT(utility_zetaE!S28,"0.00")&amp;")"</f>
        <v>4 (3.67)</v>
      </c>
    </row>
    <row r="29" spans="1:10">
      <c r="C29" t="str">
        <f>utility_zetaE!K29</f>
        <v>Joint3+3</v>
      </c>
      <c r="D29" s="6">
        <f>utility_zetaE!L29</f>
        <v>50.019999999999897</v>
      </c>
      <c r="E29" s="6">
        <f>utility_zetaE!M29</f>
        <v>63.5540000000003</v>
      </c>
      <c r="F29" s="8">
        <f>utility_zetaE!N29</f>
        <v>44.9383333333341</v>
      </c>
      <c r="G29" s="6">
        <f>utility_zetaE!O29</f>
        <v>43.707999999999402</v>
      </c>
      <c r="H29" s="6">
        <f>utility_zetaE!P29</f>
        <v>1.55277777777778</v>
      </c>
      <c r="I29" s="6">
        <f>utility_zetaE!Q29</f>
        <v>0.184</v>
      </c>
      <c r="J29" s="7" t="str">
        <f>utility_zetaE!R29 &amp; " ("&amp;TEXT(utility_zetaE!S29,"0.00")&amp;")"</f>
        <v>1 (2.83)</v>
      </c>
    </row>
    <row r="30" spans="1:10">
      <c r="C30" t="str">
        <f>utility_zetaE!K30</f>
        <v>STEIN</v>
      </c>
      <c r="D30" s="6">
        <f>utility_zetaE!L30</f>
        <v>44.758000000000202</v>
      </c>
      <c r="E30" s="6">
        <f>utility_zetaE!M30</f>
        <v>56.838000000001102</v>
      </c>
      <c r="F30" s="6">
        <f>utility_zetaE!N30</f>
        <v>40.1633333333344</v>
      </c>
      <c r="G30" s="5">
        <f>utility_zetaE!O30</f>
        <v>51.120000000000303</v>
      </c>
      <c r="H30" s="8">
        <f>utility_zetaE!P30</f>
        <v>0.58333333333333004</v>
      </c>
      <c r="I30" s="8">
        <f>utility_zetaE!Q30</f>
        <v>0.124</v>
      </c>
      <c r="J30" s="7" t="str">
        <f>utility_zetaE!R30 &amp; " ("&amp;TEXT(utility_zetaE!S30,"0.00")&amp;")"</f>
        <v>6 (4.67)</v>
      </c>
    </row>
    <row r="31" spans="1:10">
      <c r="C31" t="str">
        <f>utility_zetaE!K31</f>
        <v>PRINTE</v>
      </c>
      <c r="D31" s="6">
        <f>utility_zetaE!L31</f>
        <v>47.850000000000101</v>
      </c>
      <c r="E31" s="6">
        <f>utility_zetaE!M31</f>
        <v>60.680000000001002</v>
      </c>
      <c r="F31" s="6">
        <f>utility_zetaE!N31</f>
        <v>42.006888888889897</v>
      </c>
      <c r="G31" s="5">
        <f>utility_zetaE!O31</f>
        <v>47.861999999999497</v>
      </c>
      <c r="H31" s="5">
        <f>utility_zetaE!P31</f>
        <v>0.79077777777777603</v>
      </c>
      <c r="I31" s="6">
        <f>utility_zetaE!Q31</f>
        <v>0.17599999999999999</v>
      </c>
      <c r="J31" s="7" t="str">
        <f>utility_zetaE!R31 &amp; " ("&amp;TEXT(utility_zetaE!S31,"0.00")&amp;")"</f>
        <v>5 (4.17)</v>
      </c>
    </row>
    <row r="32" spans="1:10">
      <c r="C32" t="str">
        <f>utility_zetaE!K32</f>
        <v>TEPI</v>
      </c>
      <c r="D32" s="6">
        <f>utility_zetaE!L32</f>
        <v>46.597999999999097</v>
      </c>
      <c r="E32" s="6">
        <f>utility_zetaE!M32</f>
        <v>62.1579999999988</v>
      </c>
      <c r="F32" s="6">
        <f>utility_zetaE!N32</f>
        <v>30.914999999997999</v>
      </c>
      <c r="G32" s="5">
        <f>utility_zetaE!O32</f>
        <v>54.777999999999103</v>
      </c>
      <c r="H32" s="5">
        <f>utility_zetaE!P32</f>
        <v>6.5364444444446601</v>
      </c>
      <c r="I32" s="6">
        <f>utility_zetaE!Q32</f>
        <v>0.34200000000000003</v>
      </c>
      <c r="J32" s="7" t="str">
        <f>utility_zetaE!R32 &amp; " ("&amp;TEXT(utility_zetaE!S32,"0.00")&amp;")"</f>
        <v>7 (6.33)</v>
      </c>
    </row>
    <row r="33" spans="1:10">
      <c r="C33" t="str">
        <f>utility_zetaE!K33</f>
        <v>BOIN12</v>
      </c>
      <c r="D33" s="8">
        <f>utility_zetaE!L33</f>
        <v>51.791999999998701</v>
      </c>
      <c r="E33" s="8">
        <f>utility_zetaE!M33</f>
        <v>67.234000000000407</v>
      </c>
      <c r="F33" s="6">
        <f>utility_zetaE!N33</f>
        <v>42.282444444444998</v>
      </c>
      <c r="G33" s="8">
        <f>utility_zetaE!O33</f>
        <v>34.76</v>
      </c>
      <c r="H33" s="5">
        <f>utility_zetaE!P33</f>
        <v>2.5492222222222898</v>
      </c>
      <c r="I33" s="6">
        <f>utility_zetaE!Q33</f>
        <v>0.56399999999999995</v>
      </c>
      <c r="J33" s="7" t="str">
        <f>utility_zetaE!R33 &amp; " ("&amp;TEXT(utility_zetaE!S33,"0.00")&amp;")"</f>
        <v>3 (3.33)</v>
      </c>
    </row>
    <row r="35" spans="1:10">
      <c r="A35">
        <f>Outputtable2!A3</f>
        <v>0.2</v>
      </c>
      <c r="B35">
        <v>0.2</v>
      </c>
      <c r="C35" s="6" t="str">
        <f>Outputtable2!B3</f>
        <v>uTPI</v>
      </c>
      <c r="D35" s="6">
        <f>Outputtable2!C3</f>
        <v>44.913999999999298</v>
      </c>
      <c r="E35" s="6">
        <f>Outputtable2!D3</f>
        <v>61.018000000000796</v>
      </c>
      <c r="F35" s="6">
        <f>Outputtable2!E3</f>
        <v>37.832888888888803</v>
      </c>
      <c r="G35" s="6">
        <f>Outputtable2!F3</f>
        <v>48.460000000000299</v>
      </c>
      <c r="H35" s="6">
        <f>Outputtable2!G3</f>
        <v>1.7394444444444599</v>
      </c>
      <c r="I35" s="6">
        <f>Outputtable2!H3</f>
        <v>0.36</v>
      </c>
      <c r="J35" s="7" t="str">
        <f>Outputtable2!I3</f>
        <v>1 (3.17)</v>
      </c>
    </row>
    <row r="36" spans="1:10">
      <c r="C36" s="6" t="str">
        <f>Outputtable2!B4</f>
        <v>BOIN-ET</v>
      </c>
      <c r="D36" s="6">
        <f>Outputtable2!C4</f>
        <v>44.765999999999202</v>
      </c>
      <c r="E36" s="6">
        <f>Outputtable2!D4</f>
        <v>60.928000000000303</v>
      </c>
      <c r="F36" s="8">
        <f>Outputtable2!E4</f>
        <v>38.069999999999702</v>
      </c>
      <c r="G36" s="6">
        <f>Outputtable2!F4</f>
        <v>46.9699999999997</v>
      </c>
      <c r="H36" s="6">
        <f>Outputtable2!G4</f>
        <v>2.1306666666666998</v>
      </c>
      <c r="I36" s="6">
        <f>Outputtable2!H4</f>
        <v>0.34799999999999998</v>
      </c>
      <c r="J36" t="str">
        <f>Outputtable2!I4</f>
        <v>2 (3.33)</v>
      </c>
    </row>
    <row r="37" spans="1:10">
      <c r="C37" s="6" t="str">
        <f>Outputtable2!B5</f>
        <v>Joint3+3</v>
      </c>
      <c r="D37" s="6">
        <f>Outputtable2!C5</f>
        <v>44.109999999999197</v>
      </c>
      <c r="E37" s="6">
        <f>Outputtable2!D5</f>
        <v>61.165999999999499</v>
      </c>
      <c r="F37" s="6">
        <f>Outputtable2!E5</f>
        <v>37.9949999999996</v>
      </c>
      <c r="G37" s="6">
        <f>Outputtable2!F5</f>
        <v>48.4779999999989</v>
      </c>
      <c r="H37" s="6">
        <f>Outputtable2!G5</f>
        <v>2.9276666666667199</v>
      </c>
      <c r="I37" s="6">
        <f>Outputtable2!H5</f>
        <v>0.32</v>
      </c>
      <c r="J37" t="str">
        <f>Outputtable2!I5</f>
        <v>4 (3.83)</v>
      </c>
    </row>
    <row r="38" spans="1:10">
      <c r="C38" s="6" t="str">
        <f>Outputtable2!B6</f>
        <v>STEIN</v>
      </c>
      <c r="D38" s="6">
        <f>Outputtable2!C6</f>
        <v>44.059999999999398</v>
      </c>
      <c r="E38" s="6">
        <f>Outputtable2!D6</f>
        <v>60.214000000000503</v>
      </c>
      <c r="F38" s="6">
        <f>Outputtable2!E6</f>
        <v>37.442999999999898</v>
      </c>
      <c r="G38" s="6">
        <f>Outputtable2!F6</f>
        <v>46.504000000000097</v>
      </c>
      <c r="H38" s="6">
        <f>Outputtable2!G6</f>
        <v>1.7486666666666799</v>
      </c>
      <c r="I38" s="6">
        <f>Outputtable2!H6</f>
        <v>0.36199999999999999</v>
      </c>
      <c r="J38" t="str">
        <f>Outputtable2!I6</f>
        <v>5 (4.33)</v>
      </c>
    </row>
    <row r="39" spans="1:10">
      <c r="C39" s="6" t="str">
        <f>Outputtable2!B7</f>
        <v>PRINTE</v>
      </c>
      <c r="D39" s="6">
        <f>Outputtable2!C7</f>
        <v>42.5199999999993</v>
      </c>
      <c r="E39" s="6">
        <f>Outputtable2!D7</f>
        <v>58.132000000000303</v>
      </c>
      <c r="F39" s="6">
        <f>Outputtable2!E7</f>
        <v>35.818777777777598</v>
      </c>
      <c r="G39" s="6">
        <f>Outputtable2!F7</f>
        <v>51.057999999999502</v>
      </c>
      <c r="H39" s="8">
        <f>Outputtable2!G7</f>
        <v>1.6440000000000199</v>
      </c>
      <c r="I39" s="8">
        <f>Outputtable2!H7</f>
        <v>0.26600000000000001</v>
      </c>
      <c r="J39" t="str">
        <f>Outputtable2!I7</f>
        <v>6 (4.50)</v>
      </c>
    </row>
    <row r="40" spans="1:10">
      <c r="C40" s="6" t="str">
        <f>Outputtable2!B8</f>
        <v>TEPI</v>
      </c>
      <c r="D40" s="6">
        <f>Outputtable2!C8</f>
        <v>44.7819999999994</v>
      </c>
      <c r="E40" s="8">
        <f>Outputtable2!D8</f>
        <v>64.385999999998901</v>
      </c>
      <c r="F40" s="6">
        <f>Outputtable2!E8</f>
        <v>31.084999999998001</v>
      </c>
      <c r="G40" s="6">
        <f>Outputtable2!F8</f>
        <v>55.249999999999098</v>
      </c>
      <c r="H40" s="6">
        <f>Outputtable2!G8</f>
        <v>7.5116666666669598</v>
      </c>
      <c r="I40" s="6">
        <f>Outputtable2!H8</f>
        <v>0.47599999999999998</v>
      </c>
      <c r="J40" t="str">
        <f>Outputtable2!I8</f>
        <v>7 (5.17)</v>
      </c>
    </row>
    <row r="41" spans="1:10">
      <c r="C41" s="6" t="str">
        <f>Outputtable2!B9</f>
        <v>BOIN12</v>
      </c>
      <c r="D41" s="8">
        <f>Outputtable2!C9</f>
        <v>45.4479999999988</v>
      </c>
      <c r="E41" s="6">
        <f>Outputtable2!D9</f>
        <v>63.260000000000602</v>
      </c>
      <c r="F41" s="6">
        <f>Outputtable2!E9</f>
        <v>35.615111111111702</v>
      </c>
      <c r="G41" s="8">
        <f>Outputtable2!F9</f>
        <v>41.880000000000202</v>
      </c>
      <c r="H41" s="6">
        <f>Outputtable2!G9</f>
        <v>2.1496666666667301</v>
      </c>
      <c r="I41" s="6">
        <f>Outputtable2!H9</f>
        <v>0.60200000000000098</v>
      </c>
      <c r="J41" t="str">
        <f>Outputtable2!I9</f>
        <v>3 (3.67)</v>
      </c>
    </row>
    <row r="43" spans="1:10">
      <c r="A43">
        <v>0.4</v>
      </c>
      <c r="B43">
        <v>0.2</v>
      </c>
      <c r="C43" t="str">
        <f>Outputtable2!B19</f>
        <v>uTPI</v>
      </c>
      <c r="D43" s="8">
        <f>Outputtable2!C19</f>
        <v>49.1599999999993</v>
      </c>
      <c r="E43" s="6">
        <f>Outputtable2!D19</f>
        <v>62.959999999999702</v>
      </c>
      <c r="F43" s="6">
        <f>Outputtable2!E19</f>
        <v>40.132666666666303</v>
      </c>
      <c r="G43" s="6">
        <f>Outputtable2!F19</f>
        <v>41.887999999999899</v>
      </c>
      <c r="H43" s="6">
        <f>Outputtable2!G19</f>
        <v>2.6176666666666999</v>
      </c>
      <c r="I43" s="6">
        <f>Outputtable2!H19</f>
        <v>0.57399999999999995</v>
      </c>
      <c r="J43" s="7" t="str">
        <f>Outputtable2!I19</f>
        <v>2 (2.83)</v>
      </c>
    </row>
    <row r="44" spans="1:10">
      <c r="C44" t="str">
        <f>Outputtable2!B20</f>
        <v>BOIN-ET</v>
      </c>
      <c r="D44" s="6">
        <f>Outputtable2!C20</f>
        <v>47.021999999999302</v>
      </c>
      <c r="E44" s="6">
        <f>Outputtable2!D20</f>
        <v>60.547999999999298</v>
      </c>
      <c r="F44" s="8">
        <f>Outputtable2!E20</f>
        <v>40.336888888889</v>
      </c>
      <c r="G44" s="6">
        <f>Outputtable2!F20</f>
        <v>45.763999999999498</v>
      </c>
      <c r="H44" s="6">
        <f>Outputtable2!G20</f>
        <v>2.8238888888889302</v>
      </c>
      <c r="I44" s="6">
        <f>Outputtable2!H20</f>
        <v>0.442</v>
      </c>
      <c r="J44" s="7" t="str">
        <f>Outputtable2!I20</f>
        <v>5 (4.33)</v>
      </c>
    </row>
    <row r="45" spans="1:10">
      <c r="C45" t="str">
        <f>Outputtable2!B21</f>
        <v>Joint3+3</v>
      </c>
      <c r="D45" s="6">
        <f>Outputtable2!C21</f>
        <v>47.813999999999197</v>
      </c>
      <c r="E45" s="6">
        <f>Outputtable2!D21</f>
        <v>61.611999999998901</v>
      </c>
      <c r="F45" s="6">
        <f>Outputtable2!E21</f>
        <v>40.043888888888802</v>
      </c>
      <c r="G45" s="6">
        <f>Outputtable2!F21</f>
        <v>44.559999999999697</v>
      </c>
      <c r="H45" s="6">
        <f>Outputtable2!G21</f>
        <v>4.37144444444451</v>
      </c>
      <c r="I45" s="6">
        <f>Outputtable2!H21</f>
        <v>0.49</v>
      </c>
      <c r="J45" s="7" t="str">
        <f>Outputtable2!I21</f>
        <v>4 (4.17)</v>
      </c>
    </row>
    <row r="46" spans="1:10">
      <c r="C46" t="str">
        <f>Outputtable2!B22</f>
        <v>STEIN</v>
      </c>
      <c r="D46" s="6">
        <f>Outputtable2!C22</f>
        <v>47.175999999999398</v>
      </c>
      <c r="E46" s="6">
        <f>Outputtable2!D22</f>
        <v>60.7139999999997</v>
      </c>
      <c r="F46" s="6">
        <f>Outputtable2!E22</f>
        <v>40.196222222222097</v>
      </c>
      <c r="G46" s="6">
        <f>Outputtable2!F22</f>
        <v>43.832000000000001</v>
      </c>
      <c r="H46" s="8">
        <f>Outputtable2!G22</f>
        <v>2.2275555555555799</v>
      </c>
      <c r="I46" s="8">
        <f>Outputtable2!H22</f>
        <v>0.36799999999999999</v>
      </c>
      <c r="J46" s="7" t="str">
        <f>Outputtable2!I22</f>
        <v>1 (2.67)</v>
      </c>
    </row>
    <row r="47" spans="1:10">
      <c r="C47" t="str">
        <f>Outputtable2!B23</f>
        <v>PRINTE</v>
      </c>
      <c r="D47" s="6">
        <f>Outputtable2!C23</f>
        <v>47.041999999999298</v>
      </c>
      <c r="E47" s="6">
        <f>Outputtable2!D23</f>
        <v>60.8279999999993</v>
      </c>
      <c r="F47" s="6">
        <f>Outputtable2!E23</f>
        <v>39.383888888888798</v>
      </c>
      <c r="G47" s="6">
        <f>Outputtable2!F23</f>
        <v>46.057999999999403</v>
      </c>
      <c r="H47" s="6">
        <f>Outputtable2!G23</f>
        <v>3.1514444444444898</v>
      </c>
      <c r="I47" s="6">
        <f>Outputtable2!H23</f>
        <v>0.374</v>
      </c>
      <c r="J47" s="7" t="str">
        <f>Outputtable2!I23</f>
        <v>6 (4.50)</v>
      </c>
    </row>
    <row r="48" spans="1:10">
      <c r="C48" t="str">
        <f>Outputtable2!B24</f>
        <v>TEPI</v>
      </c>
      <c r="D48" s="6">
        <f>Outputtable2!C24</f>
        <v>45.653999999998902</v>
      </c>
      <c r="E48" s="6">
        <f>Outputtable2!D24</f>
        <v>60.195999999998598</v>
      </c>
      <c r="F48" s="6">
        <f>Outputtable2!E24</f>
        <v>29.425444444442601</v>
      </c>
      <c r="G48" s="6">
        <f>Outputtable2!F24</f>
        <v>53.7419999999982</v>
      </c>
      <c r="H48" s="6">
        <f>Outputtable2!G24</f>
        <v>5.2034444444445596</v>
      </c>
      <c r="I48" s="6">
        <f>Outputtable2!H24</f>
        <v>0.42799999999999999</v>
      </c>
      <c r="J48" s="7" t="str">
        <f>Outputtable2!I24</f>
        <v>7 (6.33)</v>
      </c>
    </row>
    <row r="49" spans="3:10">
      <c r="C49" t="str">
        <f>Outputtable2!B25</f>
        <v>BOIN12</v>
      </c>
      <c r="D49" s="6">
        <f>Outputtable2!C25</f>
        <v>48.823999999998897</v>
      </c>
      <c r="E49" s="8">
        <f>Outputtable2!D25</f>
        <v>63.263999999999903</v>
      </c>
      <c r="F49" s="6">
        <f>Outputtable2!E25</f>
        <v>38.006333333333899</v>
      </c>
      <c r="G49" s="8">
        <f>Outputtable2!F25</f>
        <v>39.182000000000002</v>
      </c>
      <c r="H49" s="6">
        <f>Outputtable2!G25</f>
        <v>2.4678888888889601</v>
      </c>
      <c r="I49" s="6">
        <f>Outputtable2!H25</f>
        <v>0.746</v>
      </c>
      <c r="J49" s="7" t="str">
        <f>Outputtable2!I25</f>
        <v>3 (3.17)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BB0E2-4724-4FF9-9985-DB19A8C65C2E}">
  <dimension ref="A2:I33"/>
  <sheetViews>
    <sheetView workbookViewId="0">
      <selection sqref="A1:XFD1048576"/>
    </sheetView>
  </sheetViews>
  <sheetFormatPr defaultRowHeight="14.75"/>
  <sheetData>
    <row r="2" spans="1:9">
      <c r="A2" t="s">
        <v>50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38</v>
      </c>
      <c r="H2" t="s">
        <v>39</v>
      </c>
      <c r="I2" t="s">
        <v>40</v>
      </c>
    </row>
    <row r="3" spans="1:9">
      <c r="A3">
        <v>0.1</v>
      </c>
      <c r="B3" t="str">
        <f>utility_zetaE!K6</f>
        <v>uTPI</v>
      </c>
      <c r="C3" s="6">
        <f>utility_zetaE!L6</f>
        <v>46.467999999999201</v>
      </c>
      <c r="D3" s="6">
        <f>utility_zetaE!M6</f>
        <v>62.867999999999498</v>
      </c>
      <c r="E3" s="8">
        <f>utility_zetaE!N6</f>
        <v>38.5511111111106</v>
      </c>
      <c r="F3" s="6">
        <f>utility_zetaE!O6</f>
        <v>43.737999999999701</v>
      </c>
      <c r="G3" s="6">
        <f>utility_zetaE!P6</f>
        <v>3.5195555555556601</v>
      </c>
      <c r="H3" s="6">
        <f>utility_zetaE!Q6</f>
        <v>0.56200000000000006</v>
      </c>
      <c r="I3" s="7" t="str">
        <f>utility_zetaE!R6 &amp; " ("&amp;TEXT(utility_zetaE!S6,"0.00")&amp;")"</f>
        <v>1 (2.83)</v>
      </c>
    </row>
    <row r="4" spans="1:9">
      <c r="B4" t="str">
        <f>utility_zetaE!K7</f>
        <v>BOIN-ET</v>
      </c>
      <c r="C4" s="6">
        <f>utility_zetaE!L7</f>
        <v>45.721999999999099</v>
      </c>
      <c r="D4" s="6">
        <f>utility_zetaE!M7</f>
        <v>61.277999999999103</v>
      </c>
      <c r="E4" s="6">
        <f>utility_zetaE!N7</f>
        <v>38.453333333332999</v>
      </c>
      <c r="F4" s="6">
        <f>utility_zetaE!O7</f>
        <v>47.033999999999203</v>
      </c>
      <c r="G4" s="6">
        <f>utility_zetaE!P7</f>
        <v>4.2023333333334403</v>
      </c>
      <c r="H4" s="6">
        <f>utility_zetaE!Q7</f>
        <v>0.43</v>
      </c>
      <c r="I4" t="str">
        <f>utility_zetaE!R7 &amp; " ("&amp;TEXT(utility_zetaE!S7,"0.00")&amp;")"</f>
        <v>3 (3.50)</v>
      </c>
    </row>
    <row r="5" spans="1:9">
      <c r="B5" t="str">
        <f>utility_zetaE!K8</f>
        <v>Joint3+3</v>
      </c>
      <c r="C5" s="6">
        <f>utility_zetaE!L8</f>
        <v>45.363999999999201</v>
      </c>
      <c r="D5" s="6">
        <f>utility_zetaE!M8</f>
        <v>61.681999999998702</v>
      </c>
      <c r="E5" s="6">
        <f>utility_zetaE!N8</f>
        <v>37.492888888888203</v>
      </c>
      <c r="F5" s="6">
        <f>utility_zetaE!O8</f>
        <v>48.327999999999001</v>
      </c>
      <c r="G5" s="6">
        <f>utility_zetaE!P8</f>
        <v>5.5155555555557001</v>
      </c>
      <c r="H5" s="6">
        <f>utility_zetaE!Q8</f>
        <v>0.49399999999999999</v>
      </c>
      <c r="I5" t="str">
        <f>utility_zetaE!R8 &amp; " ("&amp;TEXT(utility_zetaE!S8,"0.00")&amp;")"</f>
        <v>5 (4.33)</v>
      </c>
    </row>
    <row r="6" spans="1:9">
      <c r="B6" t="str">
        <f>utility_zetaE!K9</f>
        <v>STEIN</v>
      </c>
      <c r="C6" s="6">
        <f>utility_zetaE!L9</f>
        <v>45.271999999999302</v>
      </c>
      <c r="D6" s="6">
        <f>utility_zetaE!M9</f>
        <v>61.008000000000003</v>
      </c>
      <c r="E6" s="6">
        <f>utility_zetaE!N9</f>
        <v>37.152777777777501</v>
      </c>
      <c r="F6" s="6">
        <f>utility_zetaE!O9</f>
        <v>44.932000000000201</v>
      </c>
      <c r="G6" s="8">
        <f>utility_zetaE!P9</f>
        <v>2.2613333333333601</v>
      </c>
      <c r="H6" s="6">
        <f>utility_zetaE!Q9</f>
        <v>0.432</v>
      </c>
      <c r="I6" t="str">
        <f>utility_zetaE!R9 &amp; " ("&amp;TEXT(utility_zetaE!S9,"0.00")&amp;")"</f>
        <v>4 (3.83)</v>
      </c>
    </row>
    <row r="7" spans="1:9">
      <c r="B7" t="str">
        <f>utility_zetaE!K10</f>
        <v>PRINTE</v>
      </c>
      <c r="C7" s="6">
        <f>utility_zetaE!L10</f>
        <v>44.475999999998997</v>
      </c>
      <c r="D7" s="6">
        <f>utility_zetaE!M10</f>
        <v>60.489999999999299</v>
      </c>
      <c r="E7" s="6">
        <f>utility_zetaE!N10</f>
        <v>36.029666666666202</v>
      </c>
      <c r="F7" s="6">
        <f>utility_zetaE!O10</f>
        <v>49.909999999998597</v>
      </c>
      <c r="G7" s="6">
        <f>utility_zetaE!P10</f>
        <v>3.2436666666667202</v>
      </c>
      <c r="H7" s="8">
        <f>utility_zetaE!Q10</f>
        <v>0.40200000000000002</v>
      </c>
      <c r="I7" t="str">
        <f>utility_zetaE!R10 &amp; " ("&amp;TEXT(utility_zetaE!S10,"0.00")&amp;")"</f>
        <v>6 (4.83)</v>
      </c>
    </row>
    <row r="8" spans="1:9">
      <c r="B8" t="str">
        <f>utility_zetaE!K11</f>
        <v>TEPI</v>
      </c>
      <c r="C8" s="6">
        <f>utility_zetaE!L11</f>
        <v>44.809999999999199</v>
      </c>
      <c r="D8" s="6">
        <f>utility_zetaE!M11</f>
        <v>62.2479999999982</v>
      </c>
      <c r="E8" s="6">
        <f>utility_zetaE!N11</f>
        <v>30.638666666664601</v>
      </c>
      <c r="F8" s="6">
        <f>utility_zetaE!O11</f>
        <v>56.531999999998597</v>
      </c>
      <c r="G8" s="6">
        <f>utility_zetaE!P11</f>
        <v>6.8496666666668702</v>
      </c>
      <c r="H8" s="6">
        <f>utility_zetaE!Q11</f>
        <v>0.55800000000000005</v>
      </c>
      <c r="I8" t="str">
        <f>utility_zetaE!R11 &amp; " ("&amp;TEXT(utility_zetaE!S11,"0.00")&amp;")"</f>
        <v>7 (5.83)</v>
      </c>
    </row>
    <row r="9" spans="1:9">
      <c r="B9" t="str">
        <f>utility_zetaE!K12</f>
        <v>BOIN12</v>
      </c>
      <c r="C9" s="8">
        <f>utility_zetaE!L12</f>
        <v>47.237999999998799</v>
      </c>
      <c r="D9" s="8">
        <f>utility_zetaE!M12</f>
        <v>64.075999999999695</v>
      </c>
      <c r="E9" s="6">
        <f>utility_zetaE!N12</f>
        <v>37.158555555555303</v>
      </c>
      <c r="F9" s="8">
        <f>utility_zetaE!O12</f>
        <v>39.309999999999597</v>
      </c>
      <c r="G9" s="6">
        <f>utility_zetaE!P12</f>
        <v>3.3144444444445602</v>
      </c>
      <c r="H9" s="6">
        <f>utility_zetaE!Q12</f>
        <v>0.74399999999999999</v>
      </c>
      <c r="I9" t="str">
        <f>utility_zetaE!R12 &amp; " ("&amp;TEXT(utility_zetaE!S12,"0.00")&amp;")"</f>
        <v>1 (2.83)</v>
      </c>
    </row>
    <row r="10" spans="1:9">
      <c r="C10" s="8"/>
      <c r="D10" s="8"/>
      <c r="E10" s="6"/>
      <c r="F10" s="8"/>
      <c r="G10" s="6"/>
      <c r="H10" s="6"/>
    </row>
    <row r="11" spans="1:9">
      <c r="A11">
        <v>0.2</v>
      </c>
      <c r="B11" t="str">
        <f>utility_zetaE!K13</f>
        <v>uTPI</v>
      </c>
      <c r="C11" s="6">
        <f>utility_zetaE!L13</f>
        <v>48.1359999999992</v>
      </c>
      <c r="D11" s="6">
        <f>utility_zetaE!M13</f>
        <v>63.397999999999897</v>
      </c>
      <c r="E11" s="6">
        <f>utility_zetaE!N13</f>
        <v>40.501777777777399</v>
      </c>
      <c r="F11" s="5">
        <f>utility_zetaE!O13</f>
        <v>43.107999999999599</v>
      </c>
      <c r="G11" s="6">
        <f>utility_zetaE!P13</f>
        <v>2.9887777777778402</v>
      </c>
      <c r="H11" s="6">
        <f>utility_zetaE!Q13</f>
        <v>0.40799999999999997</v>
      </c>
      <c r="I11" s="7" t="str">
        <f>utility_zetaE!R13 &amp; " ("&amp;TEXT(utility_zetaE!S13,"0.00")&amp;")"</f>
        <v>1 (2.50)</v>
      </c>
    </row>
    <row r="12" spans="1:9">
      <c r="B12" t="str">
        <f>utility_zetaE!K14</f>
        <v>BOIN-ET</v>
      </c>
      <c r="C12" s="6">
        <f>utility_zetaE!L14</f>
        <v>46.5079999999992</v>
      </c>
      <c r="D12" s="6">
        <f>utility_zetaE!M14</f>
        <v>61.291999999999298</v>
      </c>
      <c r="E12" s="8">
        <f>utility_zetaE!N14</f>
        <v>40.566222222222102</v>
      </c>
      <c r="F12" s="5">
        <f>utility_zetaE!O14</f>
        <v>45.9039999999994</v>
      </c>
      <c r="G12" s="6">
        <f>utility_zetaE!P14</f>
        <v>3.4104444444444999</v>
      </c>
      <c r="H12" s="8">
        <f>utility_zetaE!Q14</f>
        <v>0.36</v>
      </c>
      <c r="I12" s="7" t="str">
        <f>utility_zetaE!R14 &amp; " ("&amp;TEXT(utility_zetaE!S14,"0.00")&amp;")"</f>
        <v>3 (3.17)</v>
      </c>
    </row>
    <row r="13" spans="1:9">
      <c r="B13" t="str">
        <f>utility_zetaE!K15</f>
        <v>Joint3+3</v>
      </c>
      <c r="C13" s="6">
        <f>utility_zetaE!L15</f>
        <v>46.463999999999103</v>
      </c>
      <c r="D13" s="6">
        <f>utility_zetaE!M15</f>
        <v>61.799999999998903</v>
      </c>
      <c r="E13" s="6">
        <f>utility_zetaE!N15</f>
        <v>39.7316666666663</v>
      </c>
      <c r="F13" s="6">
        <f>utility_zetaE!O15</f>
        <v>45.823999999999501</v>
      </c>
      <c r="G13" s="6">
        <f>utility_zetaE!P15</f>
        <v>4.3657777777778604</v>
      </c>
      <c r="H13" s="6">
        <f>utility_zetaE!Q15</f>
        <v>0.44600000000000001</v>
      </c>
      <c r="I13" s="7" t="str">
        <f>utility_zetaE!R15 &amp; " ("&amp;TEXT(utility_zetaE!S15,"0.00")&amp;")"</f>
        <v>4 (4.17)</v>
      </c>
    </row>
    <row r="14" spans="1:9">
      <c r="B14" t="str">
        <f>utility_zetaE!K16</f>
        <v>STEIN</v>
      </c>
      <c r="C14" s="6">
        <f>utility_zetaE!L16</f>
        <v>45.621999999999296</v>
      </c>
      <c r="D14" s="6">
        <f>utility_zetaE!M16</f>
        <v>60.236000000000203</v>
      </c>
      <c r="E14" s="6">
        <f>utility_zetaE!N16</f>
        <v>38.630999999999801</v>
      </c>
      <c r="F14" s="5">
        <f>utility_zetaE!O16</f>
        <v>46.360000000000198</v>
      </c>
      <c r="G14" s="8">
        <f>utility_zetaE!P16</f>
        <v>1.76233333333334</v>
      </c>
      <c r="H14" s="6">
        <f>utility_zetaE!Q16</f>
        <v>0.38200000000000001</v>
      </c>
      <c r="I14" s="7" t="str">
        <f>utility_zetaE!R16 &amp; " ("&amp;TEXT(utility_zetaE!S16,"0.00")&amp;")"</f>
        <v>4 (4.17)</v>
      </c>
    </row>
    <row r="15" spans="1:9">
      <c r="B15" t="str">
        <f>utility_zetaE!K17</f>
        <v>PRINTE</v>
      </c>
      <c r="C15" s="6">
        <f>utility_zetaE!L17</f>
        <v>45.125999999999202</v>
      </c>
      <c r="D15" s="6">
        <f>utility_zetaE!M17</f>
        <v>59.989999999999597</v>
      </c>
      <c r="E15" s="6">
        <f>utility_zetaE!N17</f>
        <v>37.941888888888499</v>
      </c>
      <c r="F15" s="5">
        <f>utility_zetaE!O17</f>
        <v>48.331999999998999</v>
      </c>
      <c r="G15" s="6">
        <f>utility_zetaE!P17</f>
        <v>2.5346666666666899</v>
      </c>
      <c r="H15" s="6">
        <f>utility_zetaE!Q17</f>
        <v>0.40600000000000003</v>
      </c>
      <c r="I15" s="7" t="str">
        <f>utility_zetaE!R17 &amp; " ("&amp;TEXT(utility_zetaE!S17,"0.00")&amp;")"</f>
        <v>6 (5.17)</v>
      </c>
    </row>
    <row r="16" spans="1:9">
      <c r="B16" t="str">
        <f>utility_zetaE!K18</f>
        <v>TEPI</v>
      </c>
      <c r="C16" s="6">
        <f>utility_zetaE!L18</f>
        <v>45.641999999999101</v>
      </c>
      <c r="D16" s="6">
        <f>utility_zetaE!M18</f>
        <v>62.077999999998397</v>
      </c>
      <c r="E16" s="6">
        <f>utility_zetaE!N18</f>
        <v>30.521222222220299</v>
      </c>
      <c r="F16" s="5">
        <f>utility_zetaE!O18</f>
        <v>55.853999999998898</v>
      </c>
      <c r="G16" s="6">
        <f>utility_zetaE!P18</f>
        <v>6.9010000000002201</v>
      </c>
      <c r="H16" s="6">
        <f>utility_zetaE!Q18</f>
        <v>0.53800000000000003</v>
      </c>
      <c r="I16" s="7" t="str">
        <f>utility_zetaE!R18 &amp; " ("&amp;TEXT(utility_zetaE!S18,"0.00")&amp;")"</f>
        <v>7 (5.83)</v>
      </c>
    </row>
    <row r="17" spans="1:9">
      <c r="B17" t="str">
        <f>utility_zetaE!K19</f>
        <v>BOIN12</v>
      </c>
      <c r="C17" s="8">
        <f>utility_zetaE!L19</f>
        <v>48.847999999998798</v>
      </c>
      <c r="D17" s="8">
        <f>utility_zetaE!M19</f>
        <v>64.83</v>
      </c>
      <c r="E17" s="6">
        <f>utility_zetaE!N19</f>
        <v>38.730444444444402</v>
      </c>
      <c r="F17" s="8">
        <f>utility_zetaE!O19</f>
        <v>37.481999999999601</v>
      </c>
      <c r="G17" s="6">
        <f>utility_zetaE!P19</f>
        <v>3.1225555555556599</v>
      </c>
      <c r="H17" s="6">
        <f>utility_zetaE!Q19</f>
        <v>0.66400000000000003</v>
      </c>
      <c r="I17" s="7" t="str">
        <f>utility_zetaE!R19 &amp; " ("&amp;TEXT(utility_zetaE!S19,"0.00")&amp;")"</f>
        <v>2 (3.00)</v>
      </c>
    </row>
    <row r="18" spans="1:9">
      <c r="C18" s="8"/>
      <c r="D18" s="8"/>
      <c r="E18" s="6"/>
      <c r="F18" s="8"/>
      <c r="G18" s="6"/>
      <c r="H18" s="6"/>
    </row>
    <row r="19" spans="1:9">
      <c r="A19">
        <v>0.3</v>
      </c>
      <c r="B19" t="str">
        <f>utility_zetaE!K20</f>
        <v>uTPI</v>
      </c>
      <c r="C19" s="6">
        <f>utility_zetaE!L20</f>
        <v>49.875999999999401</v>
      </c>
      <c r="D19" s="6">
        <f>utility_zetaE!M20</f>
        <v>64.150000000000006</v>
      </c>
      <c r="E19" s="8">
        <f>utility_zetaE!N20</f>
        <v>42.949111111111201</v>
      </c>
      <c r="F19" s="5">
        <f>utility_zetaE!O20</f>
        <v>42.549999999999599</v>
      </c>
      <c r="G19" s="6">
        <f>utility_zetaE!P20</f>
        <v>2.3524444444444601</v>
      </c>
      <c r="H19" s="6">
        <f>utility_zetaE!Q20</f>
        <v>0.38400000000000001</v>
      </c>
      <c r="I19" s="7" t="str">
        <f>utility_zetaE!R20 &amp; " ("&amp;TEXT(utility_zetaE!S20,"0.00")&amp;")"</f>
        <v>1 (2.67)</v>
      </c>
    </row>
    <row r="20" spans="1:9">
      <c r="B20" t="str">
        <f>utility_zetaE!K21</f>
        <v>BOIN-ET</v>
      </c>
      <c r="C20" s="6">
        <f>utility_zetaE!L21</f>
        <v>47.259999999999302</v>
      </c>
      <c r="D20" s="6">
        <f>utility_zetaE!M21</f>
        <v>61.531999999999698</v>
      </c>
      <c r="E20" s="6">
        <f>utility_zetaE!N21</f>
        <v>42.487555555555701</v>
      </c>
      <c r="F20" s="5">
        <f>utility_zetaE!O21</f>
        <v>45.879999999999399</v>
      </c>
      <c r="G20" s="6">
        <f>utility_zetaE!P21</f>
        <v>2.2607777777778</v>
      </c>
      <c r="H20" s="6">
        <f>utility_zetaE!Q21</f>
        <v>0.27600000000000002</v>
      </c>
      <c r="I20" s="7" t="str">
        <f>utility_zetaE!R21 &amp; " ("&amp;TEXT(utility_zetaE!S21,"0.00")&amp;")"</f>
        <v>4 (3.50)</v>
      </c>
    </row>
    <row r="21" spans="1:9">
      <c r="B21" t="str">
        <f>utility_zetaE!K22</f>
        <v>Joint3+3</v>
      </c>
      <c r="C21" s="6">
        <f>utility_zetaE!L22</f>
        <v>48.575999999999397</v>
      </c>
      <c r="D21" s="6">
        <f>utility_zetaE!M22</f>
        <v>62.821999999999697</v>
      </c>
      <c r="E21" s="6">
        <f>utility_zetaE!N22</f>
        <v>42.833666666666801</v>
      </c>
      <c r="F21" s="6">
        <f>utility_zetaE!O22</f>
        <v>43.953999999999802</v>
      </c>
      <c r="G21" s="6">
        <f>utility_zetaE!P22</f>
        <v>2.7512222222222502</v>
      </c>
      <c r="H21" s="6">
        <f>utility_zetaE!Q22</f>
        <v>0.30599999999999999</v>
      </c>
      <c r="I21" s="7" t="str">
        <f>utility_zetaE!R22 &amp; " ("&amp;TEXT(utility_zetaE!S22,"0.00")&amp;")"</f>
        <v>2 (3.33)</v>
      </c>
    </row>
    <row r="22" spans="1:9">
      <c r="B22" t="str">
        <f>utility_zetaE!K23</f>
        <v>STEIN</v>
      </c>
      <c r="C22" s="6">
        <f>utility_zetaE!L23</f>
        <v>43.831999999999802</v>
      </c>
      <c r="D22" s="6">
        <f>utility_zetaE!M23</f>
        <v>56.878000000000696</v>
      </c>
      <c r="E22" s="6">
        <f>utility_zetaE!N23</f>
        <v>38.814111111111302</v>
      </c>
      <c r="F22" s="5">
        <f>utility_zetaE!O23</f>
        <v>50.468000000000004</v>
      </c>
      <c r="G22" s="8">
        <f>utility_zetaE!P23</f>
        <v>1.0248888888888901</v>
      </c>
      <c r="H22" s="8">
        <f>utility_zetaE!Q23</f>
        <v>0.2</v>
      </c>
      <c r="I22" s="7" t="str">
        <f>utility_zetaE!R23 &amp; " ("&amp;TEXT(utility_zetaE!S23,"0.00")&amp;")"</f>
        <v>6 (4.67)</v>
      </c>
    </row>
    <row r="23" spans="1:9">
      <c r="B23" t="str">
        <f>utility_zetaE!K24</f>
        <v>PRINTE</v>
      </c>
      <c r="C23" s="6">
        <f>utility_zetaE!L24</f>
        <v>46.197999999999702</v>
      </c>
      <c r="D23" s="6">
        <f>utility_zetaE!M24</f>
        <v>59.970000000000297</v>
      </c>
      <c r="E23" s="6">
        <f>utility_zetaE!N24</f>
        <v>40.064444444444398</v>
      </c>
      <c r="F23" s="5">
        <f>utility_zetaE!O24</f>
        <v>47.893999999999302</v>
      </c>
      <c r="G23" s="6">
        <f>utility_zetaE!P24</f>
        <v>1.54355555555556</v>
      </c>
      <c r="H23" s="6">
        <f>utility_zetaE!Q24</f>
        <v>0.26</v>
      </c>
      <c r="I23" s="7" t="str">
        <f>utility_zetaE!R24 &amp; " ("&amp;TEXT(utility_zetaE!S24,"0.00")&amp;")"</f>
        <v>5 (4.17)</v>
      </c>
    </row>
    <row r="24" spans="1:9">
      <c r="B24" t="str">
        <f>utility_zetaE!K25</f>
        <v>TEPI</v>
      </c>
      <c r="C24" s="6">
        <f>utility_zetaE!L25</f>
        <v>45.579999999999202</v>
      </c>
      <c r="D24" s="6">
        <f>utility_zetaE!M25</f>
        <v>61.453999999998402</v>
      </c>
      <c r="E24" s="6">
        <f>utility_zetaE!N25</f>
        <v>30.708888888887</v>
      </c>
      <c r="F24" s="5">
        <f>utility_zetaE!O25</f>
        <v>55.493999999998998</v>
      </c>
      <c r="G24" s="6">
        <f>utility_zetaE!P25</f>
        <v>6.6203333333335399</v>
      </c>
      <c r="H24" s="6">
        <f>utility_zetaE!Q25</f>
        <v>0.47799999999999998</v>
      </c>
      <c r="I24" s="7" t="str">
        <f>utility_zetaE!R25 &amp; " ("&amp;TEXT(utility_zetaE!S25,"0.00")&amp;")"</f>
        <v>7 (6.33)</v>
      </c>
    </row>
    <row r="25" spans="1:9">
      <c r="B25" t="str">
        <f>utility_zetaE!K26</f>
        <v>BOIN12</v>
      </c>
      <c r="C25" s="8">
        <f>utility_zetaE!L26</f>
        <v>50.115999999998699</v>
      </c>
      <c r="D25" s="8">
        <f>utility_zetaE!M26</f>
        <v>65.802000000000007</v>
      </c>
      <c r="E25" s="6">
        <f>utility_zetaE!N26</f>
        <v>40.6345555555557</v>
      </c>
      <c r="F25" s="8">
        <f>utility_zetaE!O26</f>
        <v>36.143999999999998</v>
      </c>
      <c r="G25" s="6">
        <f>utility_zetaE!P26</f>
        <v>2.83722222222231</v>
      </c>
      <c r="H25" s="6">
        <f>utility_zetaE!Q26</f>
        <v>0.65</v>
      </c>
      <c r="I25" s="7" t="str">
        <f>utility_zetaE!R26 &amp; " ("&amp;TEXT(utility_zetaE!S26,"0.00")&amp;")"</f>
        <v>2 (3.33)</v>
      </c>
    </row>
    <row r="26" spans="1:9">
      <c r="C26" s="8"/>
      <c r="D26" s="8"/>
      <c r="E26" s="6"/>
      <c r="F26" s="8"/>
      <c r="G26" s="6"/>
      <c r="H26" s="6"/>
    </row>
    <row r="27" spans="1:9">
      <c r="A27">
        <v>0.4</v>
      </c>
      <c r="B27" t="str">
        <f>utility_zetaE!K27</f>
        <v>uTPI</v>
      </c>
      <c r="C27" s="6">
        <f>utility_zetaE!L27</f>
        <v>51.199999999999797</v>
      </c>
      <c r="D27" s="6">
        <f>utility_zetaE!M27</f>
        <v>64.522000000000503</v>
      </c>
      <c r="E27" s="6">
        <f>utility_zetaE!N27</f>
        <v>44.920555555556398</v>
      </c>
      <c r="F27" s="5">
        <f>utility_zetaE!O27</f>
        <v>42.609999999999502</v>
      </c>
      <c r="G27" s="5">
        <f>utility_zetaE!P27</f>
        <v>1.5644444444444501</v>
      </c>
      <c r="H27" s="6">
        <f>utility_zetaE!Q27</f>
        <v>0.27400000000000002</v>
      </c>
      <c r="I27" s="7" t="str">
        <f>utility_zetaE!R27 &amp; " ("&amp;TEXT(utility_zetaE!S27,"0.00")&amp;")"</f>
        <v>2 (3.00)</v>
      </c>
    </row>
    <row r="28" spans="1:9">
      <c r="B28" t="str">
        <f>utility_zetaE!K28</f>
        <v>BOIN-ET</v>
      </c>
      <c r="C28" s="6">
        <f>utility_zetaE!L28</f>
        <v>48.937999999999697</v>
      </c>
      <c r="D28" s="6">
        <f>utility_zetaE!M28</f>
        <v>62.332000000000299</v>
      </c>
      <c r="E28" s="6">
        <f>utility_zetaE!N28</f>
        <v>44.276444444445303</v>
      </c>
      <c r="F28" s="5">
        <f>utility_zetaE!O28</f>
        <v>45.949999999999299</v>
      </c>
      <c r="G28" s="5">
        <f>utility_zetaE!P28</f>
        <v>1.2661111111111101</v>
      </c>
      <c r="H28" s="6">
        <f>utility_zetaE!Q28</f>
        <v>0.186</v>
      </c>
      <c r="I28" s="7" t="str">
        <f>utility_zetaE!R28 &amp; " ("&amp;TEXT(utility_zetaE!S28,"0.00")&amp;")"</f>
        <v>4 (3.67)</v>
      </c>
    </row>
    <row r="29" spans="1:9">
      <c r="B29" t="str">
        <f>utility_zetaE!K29</f>
        <v>Joint3+3</v>
      </c>
      <c r="C29" s="6">
        <f>utility_zetaE!L29</f>
        <v>50.019999999999897</v>
      </c>
      <c r="D29" s="6">
        <f>utility_zetaE!M29</f>
        <v>63.5540000000003</v>
      </c>
      <c r="E29" s="8">
        <f>utility_zetaE!N29</f>
        <v>44.9383333333341</v>
      </c>
      <c r="F29" s="6">
        <f>utility_zetaE!O29</f>
        <v>43.707999999999402</v>
      </c>
      <c r="G29" s="6">
        <f>utility_zetaE!P29</f>
        <v>1.55277777777778</v>
      </c>
      <c r="H29" s="6">
        <f>utility_zetaE!Q29</f>
        <v>0.184</v>
      </c>
      <c r="I29" s="7" t="str">
        <f>utility_zetaE!R29 &amp; " ("&amp;TEXT(utility_zetaE!S29,"0.00")&amp;")"</f>
        <v>1 (2.83)</v>
      </c>
    </row>
    <row r="30" spans="1:9">
      <c r="B30" t="str">
        <f>utility_zetaE!K30</f>
        <v>STEIN</v>
      </c>
      <c r="C30" s="6">
        <f>utility_zetaE!L30</f>
        <v>44.758000000000202</v>
      </c>
      <c r="D30" s="6">
        <f>utility_zetaE!M30</f>
        <v>56.838000000001102</v>
      </c>
      <c r="E30" s="6">
        <f>utility_zetaE!N30</f>
        <v>40.1633333333344</v>
      </c>
      <c r="F30" s="5">
        <f>utility_zetaE!O30</f>
        <v>51.120000000000303</v>
      </c>
      <c r="G30" s="8">
        <f>utility_zetaE!P30</f>
        <v>0.58333333333333004</v>
      </c>
      <c r="H30" s="8">
        <f>utility_zetaE!Q30</f>
        <v>0.124</v>
      </c>
      <c r="I30" s="7" t="str">
        <f>utility_zetaE!R30 &amp; " ("&amp;TEXT(utility_zetaE!S30,"0.00")&amp;")"</f>
        <v>6 (4.67)</v>
      </c>
    </row>
    <row r="31" spans="1:9">
      <c r="B31" t="str">
        <f>utility_zetaE!K31</f>
        <v>PRINTE</v>
      </c>
      <c r="C31" s="6">
        <f>utility_zetaE!L31</f>
        <v>47.850000000000101</v>
      </c>
      <c r="D31" s="6">
        <f>utility_zetaE!M31</f>
        <v>60.680000000001002</v>
      </c>
      <c r="E31" s="6">
        <f>utility_zetaE!N31</f>
        <v>42.006888888889897</v>
      </c>
      <c r="F31" s="5">
        <f>utility_zetaE!O31</f>
        <v>47.861999999999497</v>
      </c>
      <c r="G31" s="5">
        <f>utility_zetaE!P31</f>
        <v>0.79077777777777603</v>
      </c>
      <c r="H31" s="6">
        <f>utility_zetaE!Q31</f>
        <v>0.17599999999999999</v>
      </c>
      <c r="I31" s="7" t="str">
        <f>utility_zetaE!R31 &amp; " ("&amp;TEXT(utility_zetaE!S31,"0.00")&amp;")"</f>
        <v>5 (4.17)</v>
      </c>
    </row>
    <row r="32" spans="1:9">
      <c r="B32" t="str">
        <f>utility_zetaE!K32</f>
        <v>TEPI</v>
      </c>
      <c r="C32" s="6">
        <f>utility_zetaE!L32</f>
        <v>46.597999999999097</v>
      </c>
      <c r="D32" s="6">
        <f>utility_zetaE!M32</f>
        <v>62.1579999999988</v>
      </c>
      <c r="E32" s="6">
        <f>utility_zetaE!N32</f>
        <v>30.914999999997999</v>
      </c>
      <c r="F32" s="5">
        <f>utility_zetaE!O32</f>
        <v>54.777999999999103</v>
      </c>
      <c r="G32" s="5">
        <f>utility_zetaE!P32</f>
        <v>6.5364444444446601</v>
      </c>
      <c r="H32" s="6">
        <f>utility_zetaE!Q32</f>
        <v>0.34200000000000003</v>
      </c>
      <c r="I32" s="7" t="str">
        <f>utility_zetaE!R32 &amp; " ("&amp;TEXT(utility_zetaE!S32,"0.00")&amp;")"</f>
        <v>7 (6.33)</v>
      </c>
    </row>
    <row r="33" spans="2:9">
      <c r="B33" t="str">
        <f>utility_zetaE!K33</f>
        <v>BOIN12</v>
      </c>
      <c r="C33" s="8">
        <f>utility_zetaE!L33</f>
        <v>51.791999999998701</v>
      </c>
      <c r="D33" s="8">
        <f>utility_zetaE!M33</f>
        <v>67.234000000000407</v>
      </c>
      <c r="E33" s="6">
        <f>utility_zetaE!N33</f>
        <v>42.282444444444998</v>
      </c>
      <c r="F33" s="8">
        <f>utility_zetaE!O33</f>
        <v>34.76</v>
      </c>
      <c r="G33" s="5">
        <f>utility_zetaE!P33</f>
        <v>2.5492222222222898</v>
      </c>
      <c r="H33" s="6">
        <f>utility_zetaE!Q33</f>
        <v>0.56399999999999995</v>
      </c>
      <c r="I33" s="7" t="str">
        <f>utility_zetaE!R33 &amp; " ("&amp;TEXT(utility_zetaE!S33,"0.00")&amp;")"</f>
        <v>3 (3.33)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E2EA5-5CCC-40C1-A908-A18C67A6A290}">
  <dimension ref="A2:I25"/>
  <sheetViews>
    <sheetView topLeftCell="A2" workbookViewId="0">
      <selection activeCell="C3" sqref="C3:I9"/>
    </sheetView>
  </sheetViews>
  <sheetFormatPr defaultRowHeight="14.75"/>
  <sheetData>
    <row r="2" spans="1:9">
      <c r="A2" t="s">
        <v>51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38</v>
      </c>
      <c r="H2" t="s">
        <v>39</v>
      </c>
      <c r="I2" t="s">
        <v>40</v>
      </c>
    </row>
    <row r="3" spans="1:9">
      <c r="A3">
        <v>0.2</v>
      </c>
      <c r="B3" t="str">
        <f>utility_phiT!K6</f>
        <v>uTPI</v>
      </c>
      <c r="C3" s="6">
        <f>utility_phiT!L6</f>
        <v>44.913999999999298</v>
      </c>
      <c r="D3" s="6">
        <f>utility_phiT!M6</f>
        <v>61.018000000000796</v>
      </c>
      <c r="E3" s="6">
        <f>utility_phiT!N6</f>
        <v>37.832888888888803</v>
      </c>
      <c r="F3" s="6">
        <f>utility_phiT!O6</f>
        <v>48.460000000000299</v>
      </c>
      <c r="G3" s="6">
        <f>utility_phiT!P6</f>
        <v>1.7394444444444599</v>
      </c>
      <c r="H3" s="6">
        <f>utility_phiT!Q6</f>
        <v>0.36</v>
      </c>
      <c r="I3" s="7" t="str">
        <f>utility_phiT!R6 &amp; " ("&amp;TEXT(utility_phiT!S6,"0.00")&amp;")"</f>
        <v>1 (3.17)</v>
      </c>
    </row>
    <row r="4" spans="1:9">
      <c r="B4" t="str">
        <f>utility_phiT!K7</f>
        <v>BOIN-ET</v>
      </c>
      <c r="C4" s="6">
        <f>utility_phiT!L7</f>
        <v>44.765999999999202</v>
      </c>
      <c r="D4" s="6">
        <f>utility_phiT!M7</f>
        <v>60.928000000000303</v>
      </c>
      <c r="E4" s="8">
        <f>utility_phiT!N7</f>
        <v>38.069999999999702</v>
      </c>
      <c r="F4" s="6">
        <f>utility_phiT!O7</f>
        <v>46.9699999999997</v>
      </c>
      <c r="G4" s="6">
        <f>utility_phiT!P7</f>
        <v>2.1306666666666998</v>
      </c>
      <c r="H4" s="6">
        <f>utility_phiT!Q7</f>
        <v>0.34799999999999998</v>
      </c>
      <c r="I4" t="str">
        <f>utility_phiT!R7 &amp; " ("&amp;TEXT(utility_phiT!S7,"0.00")&amp;")"</f>
        <v>2 (3.33)</v>
      </c>
    </row>
    <row r="5" spans="1:9">
      <c r="B5" t="str">
        <f>utility_phiT!K8</f>
        <v>Joint3+3</v>
      </c>
      <c r="C5" s="6">
        <f>utility_phiT!L8</f>
        <v>44.109999999999197</v>
      </c>
      <c r="D5" s="6">
        <f>utility_phiT!M8</f>
        <v>61.165999999999499</v>
      </c>
      <c r="E5" s="6">
        <f>utility_phiT!N8</f>
        <v>37.9949999999996</v>
      </c>
      <c r="F5" s="6">
        <f>utility_phiT!O8</f>
        <v>48.4779999999989</v>
      </c>
      <c r="G5" s="6">
        <f>utility_phiT!P8</f>
        <v>2.9276666666667199</v>
      </c>
      <c r="H5" s="6">
        <f>utility_phiT!Q8</f>
        <v>0.32</v>
      </c>
      <c r="I5" t="str">
        <f>utility_phiT!R8 &amp; " ("&amp;TEXT(utility_phiT!S8,"0.00")&amp;")"</f>
        <v>4 (3.83)</v>
      </c>
    </row>
    <row r="6" spans="1:9">
      <c r="B6" t="str">
        <f>utility_phiT!K9</f>
        <v>STEIN</v>
      </c>
      <c r="C6" s="6">
        <f>utility_phiT!L9</f>
        <v>44.059999999999398</v>
      </c>
      <c r="D6" s="6">
        <f>utility_phiT!M9</f>
        <v>60.214000000000503</v>
      </c>
      <c r="E6" s="6">
        <f>utility_phiT!N9</f>
        <v>37.442999999999898</v>
      </c>
      <c r="F6" s="6">
        <f>utility_phiT!O9</f>
        <v>46.504000000000097</v>
      </c>
      <c r="G6" s="6">
        <f>utility_phiT!P9</f>
        <v>1.7486666666666799</v>
      </c>
      <c r="H6" s="6">
        <f>utility_phiT!Q9</f>
        <v>0.36199999999999999</v>
      </c>
      <c r="I6" t="str">
        <f>utility_phiT!R9 &amp; " ("&amp;TEXT(utility_phiT!S9,"0.00")&amp;")"</f>
        <v>5 (4.33)</v>
      </c>
    </row>
    <row r="7" spans="1:9">
      <c r="B7" t="str">
        <f>utility_phiT!K10</f>
        <v>PRINTE</v>
      </c>
      <c r="C7" s="6">
        <f>utility_phiT!L10</f>
        <v>42.5199999999993</v>
      </c>
      <c r="D7" s="6">
        <f>utility_phiT!M10</f>
        <v>58.132000000000303</v>
      </c>
      <c r="E7" s="6">
        <f>utility_phiT!N10</f>
        <v>35.818777777777598</v>
      </c>
      <c r="F7" s="6">
        <f>utility_phiT!O10</f>
        <v>51.057999999999502</v>
      </c>
      <c r="G7" s="8">
        <f>utility_phiT!P10</f>
        <v>1.6440000000000199</v>
      </c>
      <c r="H7" s="8">
        <f>utility_phiT!Q10</f>
        <v>0.26600000000000001</v>
      </c>
      <c r="I7" t="str">
        <f>utility_phiT!R10 &amp; " ("&amp;TEXT(utility_phiT!S10,"0.00")&amp;")"</f>
        <v>6 (4.50)</v>
      </c>
    </row>
    <row r="8" spans="1:9">
      <c r="B8" t="str">
        <f>utility_phiT!K11</f>
        <v>TEPI</v>
      </c>
      <c r="C8" s="6">
        <f>utility_phiT!L11</f>
        <v>44.7819999999994</v>
      </c>
      <c r="D8" s="8">
        <f>utility_phiT!M11</f>
        <v>64.385999999998901</v>
      </c>
      <c r="E8" s="6">
        <f>utility_phiT!N11</f>
        <v>31.084999999998001</v>
      </c>
      <c r="F8" s="6">
        <f>utility_phiT!O11</f>
        <v>55.249999999999098</v>
      </c>
      <c r="G8" s="6">
        <f>utility_phiT!P11</f>
        <v>7.5116666666669598</v>
      </c>
      <c r="H8" s="6">
        <f>utility_phiT!Q11</f>
        <v>0.47599999999999998</v>
      </c>
      <c r="I8" t="str">
        <f>utility_phiT!R11 &amp; " ("&amp;TEXT(utility_phiT!S11,"0.00")&amp;")"</f>
        <v>7 (5.17)</v>
      </c>
    </row>
    <row r="9" spans="1:9">
      <c r="B9" t="str">
        <f>utility_phiT!K12</f>
        <v>BOIN12</v>
      </c>
      <c r="C9" s="8">
        <f>utility_phiT!L12</f>
        <v>45.4479999999988</v>
      </c>
      <c r="D9" s="6">
        <f>utility_phiT!M12</f>
        <v>63.260000000000602</v>
      </c>
      <c r="E9" s="6">
        <f>utility_phiT!N12</f>
        <v>35.615111111111702</v>
      </c>
      <c r="F9" s="8">
        <f>utility_phiT!O12</f>
        <v>41.880000000000202</v>
      </c>
      <c r="G9" s="6">
        <f>utility_phiT!P12</f>
        <v>2.1496666666667301</v>
      </c>
      <c r="H9" s="6">
        <f>utility_phiT!Q12</f>
        <v>0.60200000000000098</v>
      </c>
      <c r="I9" t="str">
        <f>utility_phiT!R12 &amp; " ("&amp;TEXT(utility_phiT!S12,"0.00")&amp;")"</f>
        <v>3 (3.67)</v>
      </c>
    </row>
    <row r="10" spans="1:9">
      <c r="C10" s="8"/>
      <c r="D10" s="6"/>
      <c r="E10" s="6"/>
      <c r="F10" s="8"/>
      <c r="G10" s="6"/>
      <c r="H10" s="6"/>
    </row>
    <row r="11" spans="1:9">
      <c r="A11">
        <v>0.3</v>
      </c>
      <c r="B11" t="str">
        <f>utility_phiT!K13</f>
        <v>uTPI</v>
      </c>
      <c r="C11" s="6">
        <f>utility_phiT!L13</f>
        <v>48.1359999999992</v>
      </c>
      <c r="D11" s="6">
        <f>utility_phiT!M13</f>
        <v>63.397999999999897</v>
      </c>
      <c r="E11" s="6">
        <f>utility_phiT!N13</f>
        <v>40.501777777777399</v>
      </c>
      <c r="F11" s="6">
        <f>utility_phiT!O13</f>
        <v>43.107999999999599</v>
      </c>
      <c r="G11" s="6">
        <f>utility_phiT!P13</f>
        <v>2.9887777777778402</v>
      </c>
      <c r="H11" s="6">
        <f>utility_phiT!Q13</f>
        <v>0.40799999999999997</v>
      </c>
      <c r="I11" s="7" t="str">
        <f>utility_phiT!R13 &amp; " ("&amp;TEXT(utility_phiT!S13,"0.00")&amp;")"</f>
        <v>1 (2.50)</v>
      </c>
    </row>
    <row r="12" spans="1:9">
      <c r="B12" t="str">
        <f>utility_phiT!K14</f>
        <v>BOIN-ET</v>
      </c>
      <c r="C12" s="6">
        <f>utility_phiT!L14</f>
        <v>46.5079999999992</v>
      </c>
      <c r="D12" s="6">
        <f>utility_phiT!M14</f>
        <v>61.291999999999298</v>
      </c>
      <c r="E12" s="8">
        <f>utility_phiT!N14</f>
        <v>40.566222222222102</v>
      </c>
      <c r="F12" s="6">
        <f>utility_phiT!O14</f>
        <v>45.9039999999994</v>
      </c>
      <c r="G12" s="6">
        <f>utility_phiT!P14</f>
        <v>3.4104444444444999</v>
      </c>
      <c r="H12" s="8">
        <f>utility_phiT!Q14</f>
        <v>0.36</v>
      </c>
      <c r="I12" s="7" t="str">
        <f>utility_phiT!R14 &amp; " ("&amp;TEXT(utility_phiT!S14,"0.00")&amp;")"</f>
        <v>3 (3.17)</v>
      </c>
    </row>
    <row r="13" spans="1:9">
      <c r="B13" t="str">
        <f>utility_phiT!K15</f>
        <v>Joint3+3</v>
      </c>
      <c r="C13" s="6">
        <f>utility_phiT!L15</f>
        <v>46.463999999999103</v>
      </c>
      <c r="D13" s="6">
        <f>utility_phiT!M15</f>
        <v>61.799999999998903</v>
      </c>
      <c r="E13" s="6">
        <f>utility_phiT!N15</f>
        <v>39.7316666666663</v>
      </c>
      <c r="F13" s="6">
        <f>utility_phiT!O15</f>
        <v>45.823999999999501</v>
      </c>
      <c r="G13" s="6">
        <f>utility_phiT!P15</f>
        <v>4.3657777777778604</v>
      </c>
      <c r="H13" s="6">
        <f>utility_phiT!Q15</f>
        <v>0.44600000000000001</v>
      </c>
      <c r="I13" s="7" t="str">
        <f>utility_phiT!R15 &amp; " ("&amp;TEXT(utility_phiT!S15,"0.00")&amp;")"</f>
        <v>4 (4.17)</v>
      </c>
    </row>
    <row r="14" spans="1:9">
      <c r="B14" t="str">
        <f>utility_phiT!K16</f>
        <v>STEIN</v>
      </c>
      <c r="C14" s="6">
        <f>utility_phiT!L16</f>
        <v>45.621999999999296</v>
      </c>
      <c r="D14" s="6">
        <f>utility_phiT!M16</f>
        <v>60.236000000000203</v>
      </c>
      <c r="E14" s="6">
        <f>utility_phiT!N16</f>
        <v>38.630999999999801</v>
      </c>
      <c r="F14" s="6">
        <f>utility_phiT!O16</f>
        <v>46.360000000000198</v>
      </c>
      <c r="G14" s="8">
        <f>utility_phiT!P16</f>
        <v>1.76233333333334</v>
      </c>
      <c r="H14" s="6">
        <f>utility_phiT!Q16</f>
        <v>0.38200000000000001</v>
      </c>
      <c r="I14" s="7" t="str">
        <f>utility_phiT!R16 &amp; " ("&amp;TEXT(utility_phiT!S16,"0.00")&amp;")"</f>
        <v>4 (4.17)</v>
      </c>
    </row>
    <row r="15" spans="1:9">
      <c r="B15" t="str">
        <f>utility_phiT!K17</f>
        <v>PRINTE</v>
      </c>
      <c r="C15" s="6">
        <f>utility_phiT!L17</f>
        <v>45.125999999999202</v>
      </c>
      <c r="D15" s="6">
        <f>utility_phiT!M17</f>
        <v>59.989999999999597</v>
      </c>
      <c r="E15" s="6">
        <f>utility_phiT!N17</f>
        <v>37.941888888888499</v>
      </c>
      <c r="F15" s="6">
        <f>utility_phiT!O17</f>
        <v>48.331999999998999</v>
      </c>
      <c r="G15" s="6">
        <f>utility_phiT!P17</f>
        <v>2.5346666666666899</v>
      </c>
      <c r="H15" s="6">
        <f>utility_phiT!Q17</f>
        <v>0.40600000000000003</v>
      </c>
      <c r="I15" s="7" t="str">
        <f>utility_phiT!R17 &amp; " ("&amp;TEXT(utility_phiT!S17,"0.00")&amp;")"</f>
        <v>6 (5.17)</v>
      </c>
    </row>
    <row r="16" spans="1:9">
      <c r="B16" t="str">
        <f>utility_phiT!K18</f>
        <v>TEPI</v>
      </c>
      <c r="C16" s="6">
        <f>utility_phiT!L18</f>
        <v>45.641999999999101</v>
      </c>
      <c r="D16" s="6">
        <f>utility_phiT!M18</f>
        <v>62.077999999998397</v>
      </c>
      <c r="E16" s="6">
        <f>utility_phiT!N18</f>
        <v>30.521222222220299</v>
      </c>
      <c r="F16" s="6">
        <f>utility_phiT!O18</f>
        <v>55.853999999998898</v>
      </c>
      <c r="G16" s="6">
        <f>utility_phiT!P18</f>
        <v>6.9010000000002201</v>
      </c>
      <c r="H16" s="6">
        <f>utility_phiT!Q18</f>
        <v>0.53800000000000003</v>
      </c>
      <c r="I16" s="7" t="str">
        <f>utility_phiT!R18 &amp; " ("&amp;TEXT(utility_phiT!S18,"0.00")&amp;")"</f>
        <v>7 (5.83)</v>
      </c>
    </row>
    <row r="17" spans="1:9">
      <c r="B17" t="str">
        <f>utility_phiT!K19</f>
        <v>BOIN12</v>
      </c>
      <c r="C17" s="8">
        <f>utility_phiT!L19</f>
        <v>48.847999999998798</v>
      </c>
      <c r="D17" s="8">
        <f>utility_phiT!M19</f>
        <v>64.83</v>
      </c>
      <c r="E17" s="6">
        <f>utility_phiT!N19</f>
        <v>38.730444444444402</v>
      </c>
      <c r="F17" s="8">
        <f>utility_phiT!O19</f>
        <v>37.481999999999601</v>
      </c>
      <c r="G17" s="6">
        <f>utility_phiT!P19</f>
        <v>3.1225555555556599</v>
      </c>
      <c r="H17" s="6">
        <f>utility_phiT!Q19</f>
        <v>0.66400000000000003</v>
      </c>
      <c r="I17" s="7" t="str">
        <f>utility_phiT!R19 &amp; " ("&amp;TEXT(utility_phiT!S19,"0.00")&amp;")"</f>
        <v>2 (3.00)</v>
      </c>
    </row>
    <row r="18" spans="1:9">
      <c r="C18" s="8"/>
      <c r="D18" s="8"/>
      <c r="E18" s="6"/>
      <c r="F18" s="8"/>
      <c r="G18" s="6"/>
      <c r="H18" s="6"/>
    </row>
    <row r="19" spans="1:9">
      <c r="A19">
        <v>0.4</v>
      </c>
      <c r="B19" t="str">
        <f>utility_phiT!K20</f>
        <v>uTPI</v>
      </c>
      <c r="C19" s="8">
        <f>utility_phiT!L20</f>
        <v>49.1599999999993</v>
      </c>
      <c r="D19" s="6">
        <f>utility_phiT!M20</f>
        <v>62.959999999999702</v>
      </c>
      <c r="E19" s="6">
        <f>utility_phiT!N20</f>
        <v>40.132666666666303</v>
      </c>
      <c r="F19" s="6">
        <f>utility_phiT!O20</f>
        <v>41.887999999999899</v>
      </c>
      <c r="G19" s="6">
        <f>utility_phiT!P20</f>
        <v>2.6176666666666999</v>
      </c>
      <c r="H19" s="6">
        <f>utility_phiT!Q20</f>
        <v>0.57399999999999995</v>
      </c>
      <c r="I19" s="7" t="str">
        <f>utility_phiT!R20 &amp; " ("&amp;TEXT(utility_phiT!S20,"0.00")&amp;")"</f>
        <v>2 (2.83)</v>
      </c>
    </row>
    <row r="20" spans="1:9">
      <c r="B20" t="str">
        <f>utility_phiT!K21</f>
        <v>BOIN-ET</v>
      </c>
      <c r="C20" s="6">
        <f>utility_phiT!L21</f>
        <v>47.021999999999302</v>
      </c>
      <c r="D20" s="6">
        <f>utility_phiT!M21</f>
        <v>60.547999999999298</v>
      </c>
      <c r="E20" s="8">
        <f>utility_phiT!N21</f>
        <v>40.336888888889</v>
      </c>
      <c r="F20" s="6">
        <f>utility_phiT!O21</f>
        <v>45.763999999999498</v>
      </c>
      <c r="G20" s="6">
        <f>utility_phiT!P21</f>
        <v>2.8238888888889302</v>
      </c>
      <c r="H20" s="6">
        <f>utility_phiT!Q21</f>
        <v>0.442</v>
      </c>
      <c r="I20" s="7" t="str">
        <f>utility_phiT!R21 &amp; " ("&amp;TEXT(utility_phiT!S21,"0.00")&amp;")"</f>
        <v>5 (4.33)</v>
      </c>
    </row>
    <row r="21" spans="1:9">
      <c r="B21" t="str">
        <f>utility_phiT!K22</f>
        <v>Joint3+3</v>
      </c>
      <c r="C21" s="6">
        <f>utility_phiT!L22</f>
        <v>47.813999999999197</v>
      </c>
      <c r="D21" s="6">
        <f>utility_phiT!M22</f>
        <v>61.611999999998901</v>
      </c>
      <c r="E21" s="6">
        <f>utility_phiT!N22</f>
        <v>40.043888888888802</v>
      </c>
      <c r="F21" s="6">
        <f>utility_phiT!O22</f>
        <v>44.559999999999697</v>
      </c>
      <c r="G21" s="6">
        <f>utility_phiT!P22</f>
        <v>4.37144444444451</v>
      </c>
      <c r="H21" s="6">
        <f>utility_phiT!Q22</f>
        <v>0.49</v>
      </c>
      <c r="I21" s="7" t="str">
        <f>utility_phiT!R22 &amp; " ("&amp;TEXT(utility_phiT!S22,"0.00")&amp;")"</f>
        <v>4 (4.17)</v>
      </c>
    </row>
    <row r="22" spans="1:9">
      <c r="B22" t="str">
        <f>utility_phiT!K23</f>
        <v>STEIN</v>
      </c>
      <c r="C22" s="6">
        <f>utility_phiT!L23</f>
        <v>47.175999999999398</v>
      </c>
      <c r="D22" s="6">
        <f>utility_phiT!M23</f>
        <v>60.7139999999997</v>
      </c>
      <c r="E22" s="6">
        <f>utility_phiT!N23</f>
        <v>40.196222222222097</v>
      </c>
      <c r="F22" s="6">
        <f>utility_phiT!O23</f>
        <v>43.832000000000001</v>
      </c>
      <c r="G22" s="8">
        <f>utility_phiT!P23</f>
        <v>2.2275555555555799</v>
      </c>
      <c r="H22" s="8">
        <f>utility_phiT!Q23</f>
        <v>0.36799999999999999</v>
      </c>
      <c r="I22" s="7" t="str">
        <f>utility_phiT!R23 &amp; " ("&amp;TEXT(utility_phiT!S23,"0.00")&amp;")"</f>
        <v>1 (2.67)</v>
      </c>
    </row>
    <row r="23" spans="1:9">
      <c r="B23" t="str">
        <f>utility_phiT!K24</f>
        <v>PRINTE</v>
      </c>
      <c r="C23" s="6">
        <f>utility_phiT!L24</f>
        <v>47.041999999999298</v>
      </c>
      <c r="D23" s="6">
        <f>utility_phiT!M24</f>
        <v>60.8279999999993</v>
      </c>
      <c r="E23" s="6">
        <f>utility_phiT!N24</f>
        <v>39.383888888888798</v>
      </c>
      <c r="F23" s="6">
        <f>utility_phiT!O24</f>
        <v>46.057999999999403</v>
      </c>
      <c r="G23" s="6">
        <f>utility_phiT!P24</f>
        <v>3.1514444444444898</v>
      </c>
      <c r="H23" s="6">
        <f>utility_phiT!Q24</f>
        <v>0.374</v>
      </c>
      <c r="I23" s="7" t="str">
        <f>utility_phiT!R24 &amp; " ("&amp;TEXT(utility_phiT!S24,"0.00")&amp;")"</f>
        <v>6 (4.50)</v>
      </c>
    </row>
    <row r="24" spans="1:9">
      <c r="B24" t="str">
        <f>utility_phiT!K25</f>
        <v>TEPI</v>
      </c>
      <c r="C24" s="6">
        <f>utility_phiT!L25</f>
        <v>45.653999999998902</v>
      </c>
      <c r="D24" s="6">
        <f>utility_phiT!M25</f>
        <v>60.195999999998598</v>
      </c>
      <c r="E24" s="6">
        <f>utility_phiT!N25</f>
        <v>29.425444444442601</v>
      </c>
      <c r="F24" s="6">
        <f>utility_phiT!O25</f>
        <v>53.7419999999982</v>
      </c>
      <c r="G24" s="6">
        <f>utility_phiT!P25</f>
        <v>5.2034444444445596</v>
      </c>
      <c r="H24" s="6">
        <f>utility_phiT!Q25</f>
        <v>0.42799999999999999</v>
      </c>
      <c r="I24" s="7" t="str">
        <f>utility_phiT!R25 &amp; " ("&amp;TEXT(utility_phiT!S25,"0.00")&amp;")"</f>
        <v>7 (6.33)</v>
      </c>
    </row>
    <row r="25" spans="1:9">
      <c r="B25" t="str">
        <f>utility_phiT!K26</f>
        <v>BOIN12</v>
      </c>
      <c r="C25" s="6">
        <f>utility_phiT!L26</f>
        <v>48.823999999998897</v>
      </c>
      <c r="D25" s="8">
        <f>utility_phiT!M26</f>
        <v>63.263999999999903</v>
      </c>
      <c r="E25" s="6">
        <f>utility_phiT!N26</f>
        <v>38.006333333333899</v>
      </c>
      <c r="F25" s="8">
        <f>utility_phiT!O26</f>
        <v>39.182000000000002</v>
      </c>
      <c r="G25" s="6">
        <f>utility_phiT!P26</f>
        <v>2.4678888888889601</v>
      </c>
      <c r="H25" s="6">
        <f>utility_phiT!Q26</f>
        <v>0.746</v>
      </c>
      <c r="I25" s="7" t="str">
        <f>utility_phiT!R26 &amp; " ("&amp;TEXT(utility_phiT!S26,"0.00")&amp;")"</f>
        <v>3 (3.17)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41FFD-EE5A-45B4-A429-88A770723D98}">
  <sheetPr codeName="Sheet6"/>
  <dimension ref="A1:Y33"/>
  <sheetViews>
    <sheetView topLeftCell="I1" workbookViewId="0">
      <selection activeCell="K6" sqref="K6:R26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9" width="11.90625" bestFit="1" customWidth="1"/>
    <col min="10" max="52" width="14.81640625" bestFit="1" customWidth="1"/>
    <col min="53" max="53" width="14.81640625" customWidth="1"/>
    <col min="54" max="74" width="14.81640625" bestFit="1" customWidth="1"/>
    <col min="75" max="76" width="16.86328125" bestFit="1" customWidth="1"/>
    <col min="77" max="77" width="17.1328125" bestFit="1" customWidth="1"/>
    <col min="78" max="78" width="17.81640625" bestFit="1" customWidth="1"/>
    <col min="79" max="79" width="19.58984375" bestFit="1" customWidth="1"/>
    <col min="80" max="80" width="16.6796875" bestFit="1" customWidth="1"/>
  </cols>
  <sheetData>
    <row r="1" spans="1:25">
      <c r="A1" s="1" t="s">
        <v>2</v>
      </c>
      <c r="B1" s="2">
        <v>1</v>
      </c>
    </row>
    <row r="2" spans="1:25">
      <c r="A2" s="1" t="s">
        <v>1</v>
      </c>
      <c r="B2" s="2">
        <v>1</v>
      </c>
    </row>
    <row r="3" spans="1:25">
      <c r="A3" s="1" t="s">
        <v>0</v>
      </c>
      <c r="B3" s="2">
        <v>18</v>
      </c>
    </row>
    <row r="5" spans="1:25">
      <c r="A5" s="1" t="s">
        <v>43</v>
      </c>
      <c r="B5" s="1" t="s">
        <v>10</v>
      </c>
      <c r="C5" t="s">
        <v>19</v>
      </c>
      <c r="D5" t="s">
        <v>20</v>
      </c>
      <c r="E5" t="s">
        <v>21</v>
      </c>
      <c r="F5" t="s">
        <v>22</v>
      </c>
      <c r="G5" t="s">
        <v>23</v>
      </c>
      <c r="H5" t="s">
        <v>37</v>
      </c>
      <c r="J5" t="s">
        <v>51</v>
      </c>
      <c r="K5" t="s">
        <v>31</v>
      </c>
      <c r="L5" t="s">
        <v>32</v>
      </c>
      <c r="M5" t="s">
        <v>33</v>
      </c>
      <c r="N5" t="s">
        <v>34</v>
      </c>
      <c r="O5" t="s">
        <v>35</v>
      </c>
      <c r="P5" t="s">
        <v>38</v>
      </c>
      <c r="Q5" t="s">
        <v>39</v>
      </c>
      <c r="R5" t="s">
        <v>40</v>
      </c>
    </row>
    <row r="6" spans="1:25">
      <c r="A6" t="s">
        <v>45</v>
      </c>
      <c r="B6" t="s">
        <v>11</v>
      </c>
      <c r="C6" s="3">
        <v>44.913999999999298</v>
      </c>
      <c r="D6" s="3">
        <v>61.018000000000796</v>
      </c>
      <c r="E6" s="3">
        <v>37.832888888888803</v>
      </c>
      <c r="F6" s="3">
        <v>48.460000000000299</v>
      </c>
      <c r="G6" s="3">
        <v>1.7394444444444599</v>
      </c>
      <c r="H6" s="3">
        <v>0.36</v>
      </c>
      <c r="J6" s="7">
        <v>0.2</v>
      </c>
      <c r="K6" t="s">
        <v>24</v>
      </c>
      <c r="L6" s="6">
        <f t="shared" ref="L6:Q21" si="0">C6</f>
        <v>44.913999999999298</v>
      </c>
      <c r="M6" s="6">
        <f t="shared" si="0"/>
        <v>61.018000000000796</v>
      </c>
      <c r="N6" s="6">
        <f t="shared" si="0"/>
        <v>37.832888888888803</v>
      </c>
      <c r="O6" s="6">
        <f t="shared" si="0"/>
        <v>48.460000000000299</v>
      </c>
      <c r="P6" s="6">
        <f t="shared" si="0"/>
        <v>1.7394444444444599</v>
      </c>
      <c r="Q6" s="6">
        <f t="shared" si="0"/>
        <v>0.36</v>
      </c>
      <c r="R6" s="7">
        <f t="shared" ref="R6:R12" si="1">_xlfn.RANK.EQ(S6,S$6:S$12,1)</f>
        <v>1</v>
      </c>
      <c r="S6">
        <f t="shared" ref="S6:S26" si="2">AVERAGE(T6:Y6)</f>
        <v>3.1666666666666665</v>
      </c>
      <c r="T6">
        <f t="shared" ref="T6:V12" si="3">(_xlfn.RANK.AVG(L6,L$6:L$12))</f>
        <v>2</v>
      </c>
      <c r="U6">
        <f t="shared" si="3"/>
        <v>4</v>
      </c>
      <c r="V6">
        <f t="shared" si="3"/>
        <v>3</v>
      </c>
      <c r="W6">
        <f t="shared" ref="W6:Y12" si="4">(_xlfn.RANK.AVG(O6,O$6:O$12,1))</f>
        <v>4</v>
      </c>
      <c r="X6">
        <f t="shared" si="4"/>
        <v>2</v>
      </c>
      <c r="Y6">
        <f t="shared" si="4"/>
        <v>4</v>
      </c>
    </row>
    <row r="7" spans="1:25">
      <c r="B7" t="s">
        <v>12</v>
      </c>
      <c r="C7" s="3">
        <v>44.765999999999202</v>
      </c>
      <c r="D7" s="3">
        <v>60.928000000000303</v>
      </c>
      <c r="E7" s="3">
        <v>38.069999999999702</v>
      </c>
      <c r="F7" s="3">
        <v>46.9699999999997</v>
      </c>
      <c r="G7" s="3">
        <v>2.1306666666666998</v>
      </c>
      <c r="H7" s="3">
        <v>0.34799999999999998</v>
      </c>
      <c r="J7" s="4"/>
      <c r="K7" t="s">
        <v>25</v>
      </c>
      <c r="L7" s="6">
        <f t="shared" si="0"/>
        <v>44.765999999999202</v>
      </c>
      <c r="M7" s="6">
        <f t="shared" si="0"/>
        <v>60.928000000000303</v>
      </c>
      <c r="N7" s="8">
        <f t="shared" si="0"/>
        <v>38.069999999999702</v>
      </c>
      <c r="O7" s="6">
        <f t="shared" si="0"/>
        <v>46.9699999999997</v>
      </c>
      <c r="P7" s="6">
        <f t="shared" si="0"/>
        <v>2.1306666666666998</v>
      </c>
      <c r="Q7" s="6">
        <f t="shared" si="0"/>
        <v>0.34799999999999998</v>
      </c>
      <c r="R7" s="7">
        <f t="shared" si="1"/>
        <v>2</v>
      </c>
      <c r="S7">
        <f t="shared" si="2"/>
        <v>3.3333333333333335</v>
      </c>
      <c r="T7">
        <f t="shared" si="3"/>
        <v>4</v>
      </c>
      <c r="U7">
        <f t="shared" si="3"/>
        <v>5</v>
      </c>
      <c r="V7">
        <f t="shared" si="3"/>
        <v>1</v>
      </c>
      <c r="W7">
        <f t="shared" si="4"/>
        <v>3</v>
      </c>
      <c r="X7">
        <f t="shared" si="4"/>
        <v>4</v>
      </c>
      <c r="Y7">
        <f t="shared" si="4"/>
        <v>3</v>
      </c>
    </row>
    <row r="8" spans="1:25">
      <c r="B8" t="s">
        <v>15</v>
      </c>
      <c r="C8" s="3">
        <v>44.109999999999197</v>
      </c>
      <c r="D8" s="3">
        <v>61.165999999999499</v>
      </c>
      <c r="E8" s="3">
        <v>37.9949999999996</v>
      </c>
      <c r="F8" s="3">
        <v>48.4779999999989</v>
      </c>
      <c r="G8" s="3">
        <v>2.9276666666667199</v>
      </c>
      <c r="H8" s="3">
        <v>0.32</v>
      </c>
      <c r="J8" s="4"/>
      <c r="K8" t="s">
        <v>26</v>
      </c>
      <c r="L8" s="6">
        <f t="shared" si="0"/>
        <v>44.109999999999197</v>
      </c>
      <c r="M8" s="6">
        <f t="shared" si="0"/>
        <v>61.165999999999499</v>
      </c>
      <c r="N8" s="6">
        <f t="shared" si="0"/>
        <v>37.9949999999996</v>
      </c>
      <c r="O8" s="6">
        <f t="shared" si="0"/>
        <v>48.4779999999989</v>
      </c>
      <c r="P8" s="6">
        <f t="shared" si="0"/>
        <v>2.9276666666667199</v>
      </c>
      <c r="Q8" s="6">
        <f t="shared" si="0"/>
        <v>0.32</v>
      </c>
      <c r="R8" s="7">
        <f t="shared" si="1"/>
        <v>4</v>
      </c>
      <c r="S8">
        <f t="shared" si="2"/>
        <v>3.8333333333333335</v>
      </c>
      <c r="T8">
        <f t="shared" si="3"/>
        <v>5</v>
      </c>
      <c r="U8">
        <f t="shared" si="3"/>
        <v>3</v>
      </c>
      <c r="V8">
        <f t="shared" si="3"/>
        <v>2</v>
      </c>
      <c r="W8">
        <f t="shared" si="4"/>
        <v>5</v>
      </c>
      <c r="X8">
        <f t="shared" si="4"/>
        <v>6</v>
      </c>
      <c r="Y8">
        <f t="shared" si="4"/>
        <v>2</v>
      </c>
    </row>
    <row r="9" spans="1:25">
      <c r="B9" t="s">
        <v>17</v>
      </c>
      <c r="C9" s="3">
        <v>44.059999999999398</v>
      </c>
      <c r="D9" s="3">
        <v>60.214000000000503</v>
      </c>
      <c r="E9" s="3">
        <v>37.442999999999898</v>
      </c>
      <c r="F9" s="3">
        <v>46.504000000000097</v>
      </c>
      <c r="G9" s="3">
        <v>1.7486666666666799</v>
      </c>
      <c r="H9" s="3">
        <v>0.36199999999999999</v>
      </c>
      <c r="J9" s="4"/>
      <c r="K9" t="s">
        <v>27</v>
      </c>
      <c r="L9" s="6">
        <f t="shared" si="0"/>
        <v>44.059999999999398</v>
      </c>
      <c r="M9" s="6">
        <f t="shared" si="0"/>
        <v>60.214000000000503</v>
      </c>
      <c r="N9" s="6">
        <f t="shared" si="0"/>
        <v>37.442999999999898</v>
      </c>
      <c r="O9" s="6">
        <f t="shared" si="0"/>
        <v>46.504000000000097</v>
      </c>
      <c r="P9" s="6">
        <f t="shared" si="0"/>
        <v>1.7486666666666799</v>
      </c>
      <c r="Q9" s="6">
        <f t="shared" si="0"/>
        <v>0.36199999999999999</v>
      </c>
      <c r="R9" s="7">
        <f t="shared" si="1"/>
        <v>5</v>
      </c>
      <c r="S9">
        <f t="shared" si="2"/>
        <v>4.333333333333333</v>
      </c>
      <c r="T9">
        <f t="shared" si="3"/>
        <v>6</v>
      </c>
      <c r="U9">
        <f t="shared" si="3"/>
        <v>6</v>
      </c>
      <c r="V9">
        <f t="shared" si="3"/>
        <v>4</v>
      </c>
      <c r="W9">
        <f t="shared" si="4"/>
        <v>2</v>
      </c>
      <c r="X9">
        <f t="shared" si="4"/>
        <v>3</v>
      </c>
      <c r="Y9">
        <f t="shared" si="4"/>
        <v>5</v>
      </c>
    </row>
    <row r="10" spans="1:25">
      <c r="B10" t="s">
        <v>16</v>
      </c>
      <c r="C10" s="3">
        <v>42.5199999999993</v>
      </c>
      <c r="D10" s="3">
        <v>58.132000000000303</v>
      </c>
      <c r="E10" s="3">
        <v>35.818777777777598</v>
      </c>
      <c r="F10" s="3">
        <v>51.057999999999502</v>
      </c>
      <c r="G10" s="3">
        <v>1.6440000000000199</v>
      </c>
      <c r="H10" s="3">
        <v>0.26600000000000001</v>
      </c>
      <c r="J10" s="4"/>
      <c r="K10" t="s">
        <v>28</v>
      </c>
      <c r="L10" s="6">
        <f t="shared" si="0"/>
        <v>42.5199999999993</v>
      </c>
      <c r="M10" s="6">
        <f t="shared" si="0"/>
        <v>58.132000000000303</v>
      </c>
      <c r="N10" s="6">
        <f t="shared" si="0"/>
        <v>35.818777777777598</v>
      </c>
      <c r="O10" s="6">
        <f t="shared" si="0"/>
        <v>51.057999999999502</v>
      </c>
      <c r="P10" s="8">
        <f t="shared" si="0"/>
        <v>1.6440000000000199</v>
      </c>
      <c r="Q10" s="8">
        <f t="shared" si="0"/>
        <v>0.26600000000000001</v>
      </c>
      <c r="R10" s="7">
        <f t="shared" si="1"/>
        <v>6</v>
      </c>
      <c r="S10">
        <f t="shared" si="2"/>
        <v>4.5</v>
      </c>
      <c r="T10">
        <f t="shared" si="3"/>
        <v>7</v>
      </c>
      <c r="U10">
        <f t="shared" si="3"/>
        <v>7</v>
      </c>
      <c r="V10">
        <f t="shared" si="3"/>
        <v>5</v>
      </c>
      <c r="W10">
        <f t="shared" si="4"/>
        <v>6</v>
      </c>
      <c r="X10">
        <f t="shared" si="4"/>
        <v>1</v>
      </c>
      <c r="Y10">
        <f t="shared" si="4"/>
        <v>1</v>
      </c>
    </row>
    <row r="11" spans="1:25">
      <c r="B11" t="s">
        <v>13</v>
      </c>
      <c r="C11" s="3">
        <v>44.7819999999994</v>
      </c>
      <c r="D11" s="3">
        <v>64.385999999998901</v>
      </c>
      <c r="E11" s="3">
        <v>31.084999999998001</v>
      </c>
      <c r="F11" s="3">
        <v>55.249999999999098</v>
      </c>
      <c r="G11" s="3">
        <v>7.5116666666669598</v>
      </c>
      <c r="H11" s="3">
        <v>0.47599999999999998</v>
      </c>
      <c r="J11" s="4"/>
      <c r="K11" t="s">
        <v>29</v>
      </c>
      <c r="L11" s="6">
        <f t="shared" si="0"/>
        <v>44.7819999999994</v>
      </c>
      <c r="M11" s="8">
        <f t="shared" si="0"/>
        <v>64.385999999998901</v>
      </c>
      <c r="N11" s="6">
        <f t="shared" si="0"/>
        <v>31.084999999998001</v>
      </c>
      <c r="O11" s="6">
        <f t="shared" si="0"/>
        <v>55.249999999999098</v>
      </c>
      <c r="P11" s="6">
        <f t="shared" si="0"/>
        <v>7.5116666666669598</v>
      </c>
      <c r="Q11" s="6">
        <f t="shared" si="0"/>
        <v>0.47599999999999998</v>
      </c>
      <c r="R11" s="7">
        <f t="shared" si="1"/>
        <v>7</v>
      </c>
      <c r="S11">
        <f t="shared" si="2"/>
        <v>5.166666666666667</v>
      </c>
      <c r="T11">
        <f t="shared" si="3"/>
        <v>3</v>
      </c>
      <c r="U11">
        <f t="shared" si="3"/>
        <v>1</v>
      </c>
      <c r="V11">
        <f t="shared" si="3"/>
        <v>7</v>
      </c>
      <c r="W11">
        <f t="shared" si="4"/>
        <v>7</v>
      </c>
      <c r="X11">
        <f t="shared" si="4"/>
        <v>7</v>
      </c>
      <c r="Y11">
        <f t="shared" si="4"/>
        <v>6</v>
      </c>
    </row>
    <row r="12" spans="1:25">
      <c r="B12" t="s">
        <v>14</v>
      </c>
      <c r="C12" s="3">
        <v>45.4479999999988</v>
      </c>
      <c r="D12" s="3">
        <v>63.260000000000602</v>
      </c>
      <c r="E12" s="3">
        <v>35.615111111111702</v>
      </c>
      <c r="F12" s="3">
        <v>41.880000000000202</v>
      </c>
      <c r="G12" s="3">
        <v>2.1496666666667301</v>
      </c>
      <c r="H12" s="3">
        <v>0.60200000000000098</v>
      </c>
      <c r="K12" t="s">
        <v>30</v>
      </c>
      <c r="L12" s="8">
        <f t="shared" si="0"/>
        <v>45.4479999999988</v>
      </c>
      <c r="M12" s="6">
        <f t="shared" si="0"/>
        <v>63.260000000000602</v>
      </c>
      <c r="N12" s="6">
        <f t="shared" si="0"/>
        <v>35.615111111111702</v>
      </c>
      <c r="O12" s="8">
        <f t="shared" si="0"/>
        <v>41.880000000000202</v>
      </c>
      <c r="P12" s="6">
        <f t="shared" si="0"/>
        <v>2.1496666666667301</v>
      </c>
      <c r="Q12" s="6">
        <f t="shared" si="0"/>
        <v>0.60200000000000098</v>
      </c>
      <c r="R12" s="7">
        <f t="shared" si="1"/>
        <v>3</v>
      </c>
      <c r="S12">
        <f t="shared" si="2"/>
        <v>3.6666666666666665</v>
      </c>
      <c r="T12">
        <f t="shared" si="3"/>
        <v>1</v>
      </c>
      <c r="U12">
        <f t="shared" si="3"/>
        <v>2</v>
      </c>
      <c r="V12">
        <f t="shared" si="3"/>
        <v>6</v>
      </c>
      <c r="W12">
        <f t="shared" si="4"/>
        <v>1</v>
      </c>
      <c r="X12">
        <f t="shared" si="4"/>
        <v>5</v>
      </c>
      <c r="Y12">
        <f t="shared" si="4"/>
        <v>7</v>
      </c>
    </row>
    <row r="13" spans="1:25">
      <c r="A13" t="s">
        <v>46</v>
      </c>
      <c r="B13" t="s">
        <v>11</v>
      </c>
      <c r="C13" s="3">
        <v>48.1359999999992</v>
      </c>
      <c r="D13" s="3">
        <v>63.397999999999897</v>
      </c>
      <c r="E13" s="3">
        <v>40.501777777777399</v>
      </c>
      <c r="F13" s="3">
        <v>43.107999999999599</v>
      </c>
      <c r="G13" s="3">
        <v>2.9887777777778402</v>
      </c>
      <c r="H13" s="3">
        <v>0.40799999999999997</v>
      </c>
      <c r="J13">
        <v>0.3</v>
      </c>
      <c r="K13" t="s">
        <v>24</v>
      </c>
      <c r="L13" s="6">
        <f t="shared" si="0"/>
        <v>48.1359999999992</v>
      </c>
      <c r="M13" s="6">
        <f t="shared" si="0"/>
        <v>63.397999999999897</v>
      </c>
      <c r="N13" s="6">
        <f t="shared" si="0"/>
        <v>40.501777777777399</v>
      </c>
      <c r="O13" s="6">
        <f t="shared" si="0"/>
        <v>43.107999999999599</v>
      </c>
      <c r="P13" s="6">
        <f t="shared" si="0"/>
        <v>2.9887777777778402</v>
      </c>
      <c r="Q13" s="6">
        <f t="shared" si="0"/>
        <v>0.40799999999999997</v>
      </c>
      <c r="R13" s="7">
        <f t="shared" ref="R13:R19" si="5">_xlfn.RANK.EQ(S13,S$13:S$19,1)</f>
        <v>1</v>
      </c>
      <c r="S13">
        <f t="shared" si="2"/>
        <v>2.5</v>
      </c>
      <c r="T13">
        <f t="shared" ref="T13:V19" si="6">(_xlfn.RANK.AVG(L13,L$13:L$19))</f>
        <v>2</v>
      </c>
      <c r="U13">
        <f t="shared" si="6"/>
        <v>2</v>
      </c>
      <c r="V13">
        <f t="shared" si="6"/>
        <v>2</v>
      </c>
      <c r="W13">
        <f t="shared" ref="W13:Y19" si="7">(_xlfn.RANK.AVG(O13,O$13:O$19,1))</f>
        <v>2</v>
      </c>
      <c r="X13">
        <f t="shared" si="7"/>
        <v>3</v>
      </c>
      <c r="Y13">
        <f t="shared" si="7"/>
        <v>4</v>
      </c>
    </row>
    <row r="14" spans="1:25">
      <c r="B14" t="s">
        <v>12</v>
      </c>
      <c r="C14" s="3">
        <v>46.5079999999992</v>
      </c>
      <c r="D14" s="3">
        <v>61.291999999999298</v>
      </c>
      <c r="E14" s="3">
        <v>40.566222222222102</v>
      </c>
      <c r="F14" s="3">
        <v>45.9039999999994</v>
      </c>
      <c r="G14" s="3">
        <v>3.4104444444444999</v>
      </c>
      <c r="H14" s="3">
        <v>0.36</v>
      </c>
      <c r="K14" t="s">
        <v>25</v>
      </c>
      <c r="L14" s="6">
        <f t="shared" si="0"/>
        <v>46.5079999999992</v>
      </c>
      <c r="M14" s="6">
        <f t="shared" si="0"/>
        <v>61.291999999999298</v>
      </c>
      <c r="N14" s="8">
        <f t="shared" si="0"/>
        <v>40.566222222222102</v>
      </c>
      <c r="O14" s="6">
        <f t="shared" si="0"/>
        <v>45.9039999999994</v>
      </c>
      <c r="P14" s="6">
        <f t="shared" si="0"/>
        <v>3.4104444444444999</v>
      </c>
      <c r="Q14" s="8">
        <f t="shared" si="0"/>
        <v>0.36</v>
      </c>
      <c r="R14" s="7">
        <f t="shared" si="5"/>
        <v>3</v>
      </c>
      <c r="S14">
        <f t="shared" si="2"/>
        <v>3.1666666666666665</v>
      </c>
      <c r="T14">
        <f t="shared" si="6"/>
        <v>3</v>
      </c>
      <c r="U14">
        <f t="shared" si="6"/>
        <v>5</v>
      </c>
      <c r="V14">
        <f t="shared" si="6"/>
        <v>1</v>
      </c>
      <c r="W14">
        <f t="shared" si="7"/>
        <v>4</v>
      </c>
      <c r="X14">
        <f t="shared" si="7"/>
        <v>5</v>
      </c>
      <c r="Y14">
        <f t="shared" si="7"/>
        <v>1</v>
      </c>
    </row>
    <row r="15" spans="1:25">
      <c r="B15" t="s">
        <v>15</v>
      </c>
      <c r="C15" s="3">
        <v>46.463999999999103</v>
      </c>
      <c r="D15" s="3">
        <v>61.799999999998903</v>
      </c>
      <c r="E15" s="3">
        <v>39.7316666666663</v>
      </c>
      <c r="F15" s="3">
        <v>45.823999999999501</v>
      </c>
      <c r="G15" s="3">
        <v>4.3657777777778604</v>
      </c>
      <c r="H15" s="3">
        <v>0.44600000000000001</v>
      </c>
      <c r="K15" t="s">
        <v>26</v>
      </c>
      <c r="L15" s="6">
        <f t="shared" si="0"/>
        <v>46.463999999999103</v>
      </c>
      <c r="M15" s="6">
        <f t="shared" si="0"/>
        <v>61.799999999998903</v>
      </c>
      <c r="N15" s="6">
        <f t="shared" si="0"/>
        <v>39.7316666666663</v>
      </c>
      <c r="O15" s="6">
        <f t="shared" si="0"/>
        <v>45.823999999999501</v>
      </c>
      <c r="P15" s="6">
        <f t="shared" si="0"/>
        <v>4.3657777777778604</v>
      </c>
      <c r="Q15" s="6">
        <f t="shared" si="0"/>
        <v>0.44600000000000001</v>
      </c>
      <c r="R15" s="7">
        <f t="shared" si="5"/>
        <v>4</v>
      </c>
      <c r="S15">
        <f t="shared" si="2"/>
        <v>4.166666666666667</v>
      </c>
      <c r="T15">
        <f t="shared" si="6"/>
        <v>4</v>
      </c>
      <c r="U15">
        <f t="shared" si="6"/>
        <v>4</v>
      </c>
      <c r="V15">
        <f t="shared" si="6"/>
        <v>3</v>
      </c>
      <c r="W15">
        <f t="shared" si="7"/>
        <v>3</v>
      </c>
      <c r="X15">
        <f t="shared" si="7"/>
        <v>6</v>
      </c>
      <c r="Y15">
        <f t="shared" si="7"/>
        <v>5</v>
      </c>
    </row>
    <row r="16" spans="1:25">
      <c r="B16" t="s">
        <v>17</v>
      </c>
      <c r="C16" s="3">
        <v>45.621999999999296</v>
      </c>
      <c r="D16" s="3">
        <v>60.236000000000203</v>
      </c>
      <c r="E16" s="3">
        <v>38.630999999999801</v>
      </c>
      <c r="F16" s="3">
        <v>46.360000000000198</v>
      </c>
      <c r="G16" s="3">
        <v>1.76233333333334</v>
      </c>
      <c r="H16" s="3">
        <v>0.38200000000000001</v>
      </c>
      <c r="K16" t="s">
        <v>27</v>
      </c>
      <c r="L16" s="6">
        <f t="shared" si="0"/>
        <v>45.621999999999296</v>
      </c>
      <c r="M16" s="6">
        <f t="shared" si="0"/>
        <v>60.236000000000203</v>
      </c>
      <c r="N16" s="6">
        <f t="shared" si="0"/>
        <v>38.630999999999801</v>
      </c>
      <c r="O16" s="6">
        <f t="shared" si="0"/>
        <v>46.360000000000198</v>
      </c>
      <c r="P16" s="8">
        <f t="shared" si="0"/>
        <v>1.76233333333334</v>
      </c>
      <c r="Q16" s="6">
        <f t="shared" si="0"/>
        <v>0.38200000000000001</v>
      </c>
      <c r="R16" s="7">
        <f t="shared" si="5"/>
        <v>4</v>
      </c>
      <c r="S16">
        <f t="shared" si="2"/>
        <v>4.166666666666667</v>
      </c>
      <c r="T16">
        <f t="shared" si="6"/>
        <v>6</v>
      </c>
      <c r="U16">
        <f t="shared" si="6"/>
        <v>6</v>
      </c>
      <c r="V16">
        <f t="shared" si="6"/>
        <v>5</v>
      </c>
      <c r="W16">
        <f t="shared" si="7"/>
        <v>5</v>
      </c>
      <c r="X16">
        <f t="shared" si="7"/>
        <v>1</v>
      </c>
      <c r="Y16">
        <f t="shared" si="7"/>
        <v>2</v>
      </c>
    </row>
    <row r="17" spans="1:25">
      <c r="B17" t="s">
        <v>16</v>
      </c>
      <c r="C17" s="3">
        <v>45.125999999999202</v>
      </c>
      <c r="D17" s="3">
        <v>59.989999999999597</v>
      </c>
      <c r="E17" s="3">
        <v>37.941888888888499</v>
      </c>
      <c r="F17" s="3">
        <v>48.331999999998999</v>
      </c>
      <c r="G17" s="3">
        <v>2.5346666666666899</v>
      </c>
      <c r="H17" s="3">
        <v>0.40600000000000003</v>
      </c>
      <c r="K17" t="s">
        <v>28</v>
      </c>
      <c r="L17" s="6">
        <f t="shared" si="0"/>
        <v>45.125999999999202</v>
      </c>
      <c r="M17" s="6">
        <f t="shared" si="0"/>
        <v>59.989999999999597</v>
      </c>
      <c r="N17" s="6">
        <f t="shared" si="0"/>
        <v>37.941888888888499</v>
      </c>
      <c r="O17" s="6">
        <f t="shared" si="0"/>
        <v>48.331999999998999</v>
      </c>
      <c r="P17" s="6">
        <f t="shared" si="0"/>
        <v>2.5346666666666899</v>
      </c>
      <c r="Q17" s="6">
        <f t="shared" si="0"/>
        <v>0.40600000000000003</v>
      </c>
      <c r="R17" s="7">
        <f t="shared" si="5"/>
        <v>6</v>
      </c>
      <c r="S17">
        <f t="shared" si="2"/>
        <v>5.166666666666667</v>
      </c>
      <c r="T17">
        <f t="shared" si="6"/>
        <v>7</v>
      </c>
      <c r="U17">
        <f t="shared" si="6"/>
        <v>7</v>
      </c>
      <c r="V17">
        <f t="shared" si="6"/>
        <v>6</v>
      </c>
      <c r="W17">
        <f t="shared" si="7"/>
        <v>6</v>
      </c>
      <c r="X17">
        <f t="shared" si="7"/>
        <v>2</v>
      </c>
      <c r="Y17">
        <f t="shared" si="7"/>
        <v>3</v>
      </c>
    </row>
    <row r="18" spans="1:25">
      <c r="B18" t="s">
        <v>13</v>
      </c>
      <c r="C18" s="3">
        <v>45.641999999999101</v>
      </c>
      <c r="D18" s="3">
        <v>62.077999999998397</v>
      </c>
      <c r="E18" s="3">
        <v>30.521222222220299</v>
      </c>
      <c r="F18" s="3">
        <v>55.853999999998898</v>
      </c>
      <c r="G18" s="3">
        <v>6.9010000000002201</v>
      </c>
      <c r="H18" s="3">
        <v>0.53800000000000003</v>
      </c>
      <c r="K18" t="s">
        <v>29</v>
      </c>
      <c r="L18" s="6">
        <f t="shared" si="0"/>
        <v>45.641999999999101</v>
      </c>
      <c r="M18" s="6">
        <f t="shared" si="0"/>
        <v>62.077999999998397</v>
      </c>
      <c r="N18" s="6">
        <f t="shared" si="0"/>
        <v>30.521222222220299</v>
      </c>
      <c r="O18" s="6">
        <f t="shared" si="0"/>
        <v>55.853999999998898</v>
      </c>
      <c r="P18" s="6">
        <f t="shared" si="0"/>
        <v>6.9010000000002201</v>
      </c>
      <c r="Q18" s="6">
        <f t="shared" si="0"/>
        <v>0.53800000000000003</v>
      </c>
      <c r="R18" s="7">
        <f t="shared" si="5"/>
        <v>7</v>
      </c>
      <c r="S18">
        <f t="shared" si="2"/>
        <v>5.833333333333333</v>
      </c>
      <c r="T18">
        <f t="shared" si="6"/>
        <v>5</v>
      </c>
      <c r="U18">
        <f t="shared" si="6"/>
        <v>3</v>
      </c>
      <c r="V18">
        <f t="shared" si="6"/>
        <v>7</v>
      </c>
      <c r="W18">
        <f t="shared" si="7"/>
        <v>7</v>
      </c>
      <c r="X18">
        <f t="shared" si="7"/>
        <v>7</v>
      </c>
      <c r="Y18">
        <f t="shared" si="7"/>
        <v>6</v>
      </c>
    </row>
    <row r="19" spans="1:25">
      <c r="B19" t="s">
        <v>14</v>
      </c>
      <c r="C19" s="3">
        <v>48.847999999998798</v>
      </c>
      <c r="D19" s="3">
        <v>64.83</v>
      </c>
      <c r="E19" s="3">
        <v>38.730444444444402</v>
      </c>
      <c r="F19" s="3">
        <v>37.481999999999601</v>
      </c>
      <c r="G19" s="3">
        <v>3.1225555555556599</v>
      </c>
      <c r="H19" s="3">
        <v>0.66400000000000003</v>
      </c>
      <c r="K19" t="s">
        <v>30</v>
      </c>
      <c r="L19" s="8">
        <f t="shared" si="0"/>
        <v>48.847999999998798</v>
      </c>
      <c r="M19" s="8">
        <f t="shared" si="0"/>
        <v>64.83</v>
      </c>
      <c r="N19" s="6">
        <f t="shared" si="0"/>
        <v>38.730444444444402</v>
      </c>
      <c r="O19" s="8">
        <f t="shared" si="0"/>
        <v>37.481999999999601</v>
      </c>
      <c r="P19" s="6">
        <f t="shared" si="0"/>
        <v>3.1225555555556599</v>
      </c>
      <c r="Q19" s="6">
        <f t="shared" si="0"/>
        <v>0.66400000000000003</v>
      </c>
      <c r="R19" s="7">
        <f t="shared" si="5"/>
        <v>2</v>
      </c>
      <c r="S19">
        <f t="shared" si="2"/>
        <v>3</v>
      </c>
      <c r="T19">
        <f t="shared" si="6"/>
        <v>1</v>
      </c>
      <c r="U19">
        <f t="shared" si="6"/>
        <v>1</v>
      </c>
      <c r="V19">
        <f t="shared" si="6"/>
        <v>4</v>
      </c>
      <c r="W19">
        <f t="shared" si="7"/>
        <v>1</v>
      </c>
      <c r="X19">
        <f t="shared" si="7"/>
        <v>4</v>
      </c>
      <c r="Y19">
        <f t="shared" si="7"/>
        <v>7</v>
      </c>
    </row>
    <row r="20" spans="1:25">
      <c r="A20" t="s">
        <v>47</v>
      </c>
      <c r="B20" t="s">
        <v>11</v>
      </c>
      <c r="C20" s="3">
        <v>49.1599999999993</v>
      </c>
      <c r="D20" s="3">
        <v>62.959999999999702</v>
      </c>
      <c r="E20" s="3">
        <v>40.132666666666303</v>
      </c>
      <c r="F20" s="3">
        <v>41.887999999999899</v>
      </c>
      <c r="G20" s="3">
        <v>2.6176666666666999</v>
      </c>
      <c r="H20" s="3">
        <v>0.57399999999999995</v>
      </c>
      <c r="J20">
        <v>0.4</v>
      </c>
      <c r="K20" t="s">
        <v>24</v>
      </c>
      <c r="L20" s="8">
        <f t="shared" si="0"/>
        <v>49.1599999999993</v>
      </c>
      <c r="M20" s="6">
        <f t="shared" si="0"/>
        <v>62.959999999999702</v>
      </c>
      <c r="N20" s="6">
        <f t="shared" si="0"/>
        <v>40.132666666666303</v>
      </c>
      <c r="O20" s="6">
        <f t="shared" si="0"/>
        <v>41.887999999999899</v>
      </c>
      <c r="P20" s="6">
        <f t="shared" si="0"/>
        <v>2.6176666666666999</v>
      </c>
      <c r="Q20" s="6">
        <f t="shared" si="0"/>
        <v>0.57399999999999995</v>
      </c>
      <c r="R20" s="7">
        <f t="shared" ref="R20:R26" si="8">_xlfn.RANK.EQ(S20,S$20:S$26,1)</f>
        <v>2</v>
      </c>
      <c r="S20">
        <f t="shared" si="2"/>
        <v>2.8333333333333335</v>
      </c>
      <c r="T20">
        <f t="shared" ref="T20:V26" si="9">(_xlfn.RANK.AVG(L20,L$20:L$26))</f>
        <v>1</v>
      </c>
      <c r="U20">
        <f t="shared" si="9"/>
        <v>2</v>
      </c>
      <c r="V20">
        <f t="shared" si="9"/>
        <v>3</v>
      </c>
      <c r="W20">
        <f t="shared" ref="W20:Y26" si="10">(_xlfn.RANK.AVG(O20,O$20:O$26,1))</f>
        <v>2</v>
      </c>
      <c r="X20">
        <f t="shared" si="10"/>
        <v>3</v>
      </c>
      <c r="Y20">
        <f t="shared" si="10"/>
        <v>6</v>
      </c>
    </row>
    <row r="21" spans="1:25">
      <c r="B21" t="s">
        <v>12</v>
      </c>
      <c r="C21" s="3">
        <v>47.021999999999302</v>
      </c>
      <c r="D21" s="3">
        <v>60.547999999999298</v>
      </c>
      <c r="E21" s="3">
        <v>40.336888888889</v>
      </c>
      <c r="F21" s="3">
        <v>45.763999999999498</v>
      </c>
      <c r="G21" s="3">
        <v>2.8238888888889302</v>
      </c>
      <c r="H21" s="3">
        <v>0.442</v>
      </c>
      <c r="K21" t="s">
        <v>25</v>
      </c>
      <c r="L21" s="6">
        <f t="shared" si="0"/>
        <v>47.021999999999302</v>
      </c>
      <c r="M21" s="6">
        <f t="shared" si="0"/>
        <v>60.547999999999298</v>
      </c>
      <c r="N21" s="8">
        <f t="shared" si="0"/>
        <v>40.336888888889</v>
      </c>
      <c r="O21" s="6">
        <f t="shared" si="0"/>
        <v>45.763999999999498</v>
      </c>
      <c r="P21" s="6">
        <f t="shared" si="0"/>
        <v>2.8238888888889302</v>
      </c>
      <c r="Q21" s="6">
        <f t="shared" si="0"/>
        <v>0.442</v>
      </c>
      <c r="R21" s="7">
        <f t="shared" si="8"/>
        <v>5</v>
      </c>
      <c r="S21">
        <f t="shared" si="2"/>
        <v>4.333333333333333</v>
      </c>
      <c r="T21">
        <f t="shared" si="9"/>
        <v>6</v>
      </c>
      <c r="U21">
        <f t="shared" si="9"/>
        <v>6</v>
      </c>
      <c r="V21">
        <f t="shared" si="9"/>
        <v>1</v>
      </c>
      <c r="W21">
        <f t="shared" si="10"/>
        <v>5</v>
      </c>
      <c r="X21">
        <f t="shared" si="10"/>
        <v>4</v>
      </c>
      <c r="Y21">
        <f t="shared" si="10"/>
        <v>4</v>
      </c>
    </row>
    <row r="22" spans="1:25">
      <c r="B22" t="s">
        <v>15</v>
      </c>
      <c r="C22" s="3">
        <v>47.813999999999197</v>
      </c>
      <c r="D22" s="3">
        <v>61.611999999998901</v>
      </c>
      <c r="E22" s="3">
        <v>40.043888888888802</v>
      </c>
      <c r="F22" s="3">
        <v>44.559999999999697</v>
      </c>
      <c r="G22" s="3">
        <v>4.37144444444451</v>
      </c>
      <c r="H22" s="3">
        <v>0.49</v>
      </c>
      <c r="K22" t="s">
        <v>26</v>
      </c>
      <c r="L22" s="6">
        <f t="shared" ref="L22:Q26" si="11">C22</f>
        <v>47.813999999999197</v>
      </c>
      <c r="M22" s="6">
        <f t="shared" si="11"/>
        <v>61.611999999998901</v>
      </c>
      <c r="N22" s="6">
        <f t="shared" si="11"/>
        <v>40.043888888888802</v>
      </c>
      <c r="O22" s="6">
        <f t="shared" si="11"/>
        <v>44.559999999999697</v>
      </c>
      <c r="P22" s="6">
        <f t="shared" si="11"/>
        <v>4.37144444444451</v>
      </c>
      <c r="Q22" s="6">
        <f t="shared" si="11"/>
        <v>0.49</v>
      </c>
      <c r="R22" s="7">
        <f t="shared" si="8"/>
        <v>4</v>
      </c>
      <c r="S22">
        <f t="shared" si="2"/>
        <v>4.166666666666667</v>
      </c>
      <c r="T22">
        <f t="shared" si="9"/>
        <v>3</v>
      </c>
      <c r="U22">
        <f t="shared" si="9"/>
        <v>3</v>
      </c>
      <c r="V22">
        <f t="shared" si="9"/>
        <v>4</v>
      </c>
      <c r="W22">
        <f t="shared" si="10"/>
        <v>4</v>
      </c>
      <c r="X22">
        <f t="shared" si="10"/>
        <v>6</v>
      </c>
      <c r="Y22">
        <f t="shared" si="10"/>
        <v>5</v>
      </c>
    </row>
    <row r="23" spans="1:25">
      <c r="B23" t="s">
        <v>17</v>
      </c>
      <c r="C23" s="3">
        <v>47.175999999999398</v>
      </c>
      <c r="D23" s="3">
        <v>60.7139999999997</v>
      </c>
      <c r="E23" s="3">
        <v>40.196222222222097</v>
      </c>
      <c r="F23" s="3">
        <v>43.832000000000001</v>
      </c>
      <c r="G23" s="3">
        <v>2.2275555555555799</v>
      </c>
      <c r="H23" s="3">
        <v>0.36799999999999999</v>
      </c>
      <c r="K23" t="s">
        <v>27</v>
      </c>
      <c r="L23" s="6">
        <f t="shared" si="11"/>
        <v>47.175999999999398</v>
      </c>
      <c r="M23" s="6">
        <f t="shared" si="11"/>
        <v>60.7139999999997</v>
      </c>
      <c r="N23" s="6">
        <f t="shared" si="11"/>
        <v>40.196222222222097</v>
      </c>
      <c r="O23" s="6">
        <f t="shared" si="11"/>
        <v>43.832000000000001</v>
      </c>
      <c r="P23" s="8">
        <f t="shared" si="11"/>
        <v>2.2275555555555799</v>
      </c>
      <c r="Q23" s="8">
        <f t="shared" si="11"/>
        <v>0.36799999999999999</v>
      </c>
      <c r="R23" s="7">
        <f t="shared" si="8"/>
        <v>1</v>
      </c>
      <c r="S23">
        <f t="shared" si="2"/>
        <v>2.6666666666666665</v>
      </c>
      <c r="T23">
        <f t="shared" si="9"/>
        <v>4</v>
      </c>
      <c r="U23">
        <f t="shared" si="9"/>
        <v>5</v>
      </c>
      <c r="V23">
        <f t="shared" si="9"/>
        <v>2</v>
      </c>
      <c r="W23">
        <f t="shared" si="10"/>
        <v>3</v>
      </c>
      <c r="X23">
        <f t="shared" si="10"/>
        <v>1</v>
      </c>
      <c r="Y23">
        <f t="shared" si="10"/>
        <v>1</v>
      </c>
    </row>
    <row r="24" spans="1:25">
      <c r="B24" t="s">
        <v>16</v>
      </c>
      <c r="C24" s="3">
        <v>47.041999999999298</v>
      </c>
      <c r="D24" s="3">
        <v>60.8279999999993</v>
      </c>
      <c r="E24" s="3">
        <v>39.383888888888798</v>
      </c>
      <c r="F24" s="3">
        <v>46.057999999999403</v>
      </c>
      <c r="G24" s="3">
        <v>3.1514444444444898</v>
      </c>
      <c r="H24" s="3">
        <v>0.374</v>
      </c>
      <c r="K24" t="s">
        <v>28</v>
      </c>
      <c r="L24" s="6">
        <f t="shared" si="11"/>
        <v>47.041999999999298</v>
      </c>
      <c r="M24" s="6">
        <f t="shared" si="11"/>
        <v>60.8279999999993</v>
      </c>
      <c r="N24" s="6">
        <f t="shared" si="11"/>
        <v>39.383888888888798</v>
      </c>
      <c r="O24" s="6">
        <f t="shared" si="11"/>
        <v>46.057999999999403</v>
      </c>
      <c r="P24" s="6">
        <f t="shared" si="11"/>
        <v>3.1514444444444898</v>
      </c>
      <c r="Q24" s="6">
        <f t="shared" si="11"/>
        <v>0.374</v>
      </c>
      <c r="R24" s="7">
        <f t="shared" si="8"/>
        <v>6</v>
      </c>
      <c r="S24">
        <f t="shared" si="2"/>
        <v>4.5</v>
      </c>
      <c r="T24">
        <f t="shared" si="9"/>
        <v>5</v>
      </c>
      <c r="U24">
        <f t="shared" si="9"/>
        <v>4</v>
      </c>
      <c r="V24">
        <f t="shared" si="9"/>
        <v>5</v>
      </c>
      <c r="W24">
        <f t="shared" si="10"/>
        <v>6</v>
      </c>
      <c r="X24">
        <f t="shared" si="10"/>
        <v>5</v>
      </c>
      <c r="Y24">
        <f t="shared" si="10"/>
        <v>2</v>
      </c>
    </row>
    <row r="25" spans="1:25">
      <c r="B25" t="s">
        <v>13</v>
      </c>
      <c r="C25" s="3">
        <v>45.653999999998902</v>
      </c>
      <c r="D25" s="3">
        <v>60.195999999998598</v>
      </c>
      <c r="E25" s="3">
        <v>29.425444444442601</v>
      </c>
      <c r="F25" s="3">
        <v>53.7419999999982</v>
      </c>
      <c r="G25" s="3">
        <v>5.2034444444445596</v>
      </c>
      <c r="H25" s="3">
        <v>0.42799999999999999</v>
      </c>
      <c r="K25" t="s">
        <v>29</v>
      </c>
      <c r="L25" s="6">
        <f t="shared" si="11"/>
        <v>45.653999999998902</v>
      </c>
      <c r="M25" s="6">
        <f t="shared" si="11"/>
        <v>60.195999999998598</v>
      </c>
      <c r="N25" s="6">
        <f t="shared" si="11"/>
        <v>29.425444444442601</v>
      </c>
      <c r="O25" s="6">
        <f t="shared" si="11"/>
        <v>53.7419999999982</v>
      </c>
      <c r="P25" s="6">
        <f t="shared" si="11"/>
        <v>5.2034444444445596</v>
      </c>
      <c r="Q25" s="6">
        <f t="shared" si="11"/>
        <v>0.42799999999999999</v>
      </c>
      <c r="R25" s="7">
        <f t="shared" si="8"/>
        <v>7</v>
      </c>
      <c r="S25">
        <f t="shared" si="2"/>
        <v>6.333333333333333</v>
      </c>
      <c r="T25">
        <f t="shared" si="9"/>
        <v>7</v>
      </c>
      <c r="U25">
        <f t="shared" si="9"/>
        <v>7</v>
      </c>
      <c r="V25">
        <f t="shared" si="9"/>
        <v>7</v>
      </c>
      <c r="W25">
        <f t="shared" si="10"/>
        <v>7</v>
      </c>
      <c r="X25">
        <f t="shared" si="10"/>
        <v>7</v>
      </c>
      <c r="Y25">
        <f t="shared" si="10"/>
        <v>3</v>
      </c>
    </row>
    <row r="26" spans="1:25">
      <c r="B26" t="s">
        <v>14</v>
      </c>
      <c r="C26" s="3">
        <v>48.823999999998897</v>
      </c>
      <c r="D26" s="3">
        <v>63.263999999999903</v>
      </c>
      <c r="E26" s="3">
        <v>38.006333333333899</v>
      </c>
      <c r="F26" s="3">
        <v>39.182000000000002</v>
      </c>
      <c r="G26" s="3">
        <v>2.4678888888889601</v>
      </c>
      <c r="H26" s="3">
        <v>0.746</v>
      </c>
      <c r="K26" t="s">
        <v>30</v>
      </c>
      <c r="L26" s="6">
        <f t="shared" si="11"/>
        <v>48.823999999998897</v>
      </c>
      <c r="M26" s="8">
        <f t="shared" si="11"/>
        <v>63.263999999999903</v>
      </c>
      <c r="N26" s="6">
        <f t="shared" si="11"/>
        <v>38.006333333333899</v>
      </c>
      <c r="O26" s="8">
        <f t="shared" si="11"/>
        <v>39.182000000000002</v>
      </c>
      <c r="P26" s="6">
        <f t="shared" si="11"/>
        <v>2.4678888888889601</v>
      </c>
      <c r="Q26" s="6">
        <f t="shared" si="11"/>
        <v>0.746</v>
      </c>
      <c r="R26" s="7">
        <f t="shared" si="8"/>
        <v>3</v>
      </c>
      <c r="S26">
        <f t="shared" si="2"/>
        <v>3.1666666666666665</v>
      </c>
      <c r="T26">
        <f t="shared" si="9"/>
        <v>2</v>
      </c>
      <c r="U26">
        <f t="shared" si="9"/>
        <v>1</v>
      </c>
      <c r="V26">
        <f t="shared" si="9"/>
        <v>6</v>
      </c>
      <c r="W26">
        <f t="shared" si="10"/>
        <v>1</v>
      </c>
      <c r="X26">
        <f t="shared" si="10"/>
        <v>2</v>
      </c>
      <c r="Y26">
        <f t="shared" si="10"/>
        <v>7</v>
      </c>
    </row>
    <row r="27" spans="1:25">
      <c r="A27" t="s">
        <v>18</v>
      </c>
      <c r="C27" s="3">
        <v>969.63799999998264</v>
      </c>
      <c r="D27" s="3">
        <v>1292.8499999999926</v>
      </c>
      <c r="E27" s="3">
        <v>788.00933333332557</v>
      </c>
      <c r="F27" s="3">
        <v>976.48999999999091</v>
      </c>
      <c r="G27" s="3">
        <v>67.800666666668107</v>
      </c>
      <c r="H27" s="3">
        <v>9.360000000000003</v>
      </c>
      <c r="L27" s="6"/>
      <c r="M27" s="5"/>
      <c r="N27" s="6"/>
      <c r="O27" s="5"/>
      <c r="P27" s="5"/>
      <c r="Q27" s="5"/>
      <c r="R27" s="7"/>
    </row>
    <row r="28" spans="1:25">
      <c r="L28" s="6"/>
      <c r="M28" s="5"/>
      <c r="N28" s="8"/>
      <c r="O28" s="5"/>
      <c r="P28" s="5"/>
      <c r="Q28" s="5"/>
      <c r="R28" s="7"/>
    </row>
    <row r="29" spans="1:25">
      <c r="L29" s="6"/>
      <c r="M29" s="6"/>
      <c r="N29" s="6"/>
      <c r="O29" s="6"/>
      <c r="P29" s="6"/>
      <c r="Q29" s="5"/>
      <c r="R29" s="7"/>
    </row>
    <row r="30" spans="1:25">
      <c r="L30" s="6"/>
      <c r="M30" s="5"/>
      <c r="N30" s="5"/>
      <c r="O30" s="5"/>
      <c r="P30" s="8"/>
      <c r="Q30" s="5"/>
      <c r="R30" s="7"/>
    </row>
    <row r="31" spans="1:25">
      <c r="L31" s="6"/>
      <c r="M31" s="5"/>
      <c r="N31" s="5"/>
      <c r="O31" s="5"/>
      <c r="P31" s="5"/>
      <c r="Q31" s="6"/>
      <c r="R31" s="7"/>
    </row>
    <row r="32" spans="1:25">
      <c r="L32" s="6"/>
      <c r="M32" s="5"/>
      <c r="N32" s="5"/>
      <c r="O32" s="5"/>
      <c r="P32" s="5"/>
      <c r="Q32" s="5"/>
      <c r="R32" s="7"/>
    </row>
    <row r="33" spans="12:18">
      <c r="L33" s="6"/>
      <c r="M33" s="8"/>
      <c r="N33" s="5"/>
      <c r="O33" s="8"/>
      <c r="P33" s="5"/>
      <c r="Q33" s="5"/>
      <c r="R33" s="7"/>
    </row>
  </sheetData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26BB4-AA58-400F-8C81-9073883C83C6}">
  <sheetPr codeName="Sheet5"/>
  <dimension ref="A1:Y33"/>
  <sheetViews>
    <sheetView topLeftCell="O4" workbookViewId="0">
      <selection activeCell="K6" sqref="K6:R26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9" width="11.90625" bestFit="1" customWidth="1"/>
    <col min="10" max="52" width="14.81640625" bestFit="1" customWidth="1"/>
    <col min="53" max="53" width="14.81640625" customWidth="1"/>
    <col min="54" max="74" width="14.81640625" bestFit="1" customWidth="1"/>
    <col min="75" max="76" width="16.86328125" bestFit="1" customWidth="1"/>
    <col min="77" max="77" width="17.1328125" bestFit="1" customWidth="1"/>
    <col min="78" max="78" width="17.81640625" bestFit="1" customWidth="1"/>
    <col min="79" max="79" width="19.58984375" bestFit="1" customWidth="1"/>
    <col min="80" max="80" width="16.6796875" bestFit="1" customWidth="1"/>
  </cols>
  <sheetData>
    <row r="1" spans="1:25">
      <c r="A1" s="1" t="s">
        <v>2</v>
      </c>
      <c r="B1" s="2">
        <v>1</v>
      </c>
    </row>
    <row r="2" spans="1:25">
      <c r="A2" s="1" t="s">
        <v>1</v>
      </c>
      <c r="B2" s="2">
        <v>2</v>
      </c>
    </row>
    <row r="3" spans="1:25">
      <c r="A3" s="1" t="s">
        <v>0</v>
      </c>
      <c r="B3" s="2">
        <v>18</v>
      </c>
    </row>
    <row r="5" spans="1:25">
      <c r="A5" s="1" t="s">
        <v>43</v>
      </c>
      <c r="B5" s="1" t="s">
        <v>10</v>
      </c>
      <c r="C5" t="s">
        <v>19</v>
      </c>
      <c r="D5" t="s">
        <v>20</v>
      </c>
      <c r="E5" t="s">
        <v>21</v>
      </c>
      <c r="F5" t="s">
        <v>22</v>
      </c>
      <c r="G5" t="s">
        <v>23</v>
      </c>
      <c r="H5" t="s">
        <v>37</v>
      </c>
      <c r="J5" t="s">
        <v>51</v>
      </c>
      <c r="K5" t="s">
        <v>31</v>
      </c>
      <c r="L5" t="s">
        <v>32</v>
      </c>
      <c r="M5" t="s">
        <v>33</v>
      </c>
      <c r="N5" t="s">
        <v>34</v>
      </c>
      <c r="O5" t="s">
        <v>35</v>
      </c>
      <c r="P5" t="s">
        <v>38</v>
      </c>
      <c r="Q5" t="s">
        <v>39</v>
      </c>
      <c r="R5" t="s">
        <v>40</v>
      </c>
    </row>
    <row r="6" spans="1:25">
      <c r="A6" t="s">
        <v>45</v>
      </c>
      <c r="B6" t="s">
        <v>11</v>
      </c>
      <c r="C6" s="3">
        <v>43.635999999999001</v>
      </c>
      <c r="D6" s="3">
        <v>57.496000000001203</v>
      </c>
      <c r="E6" s="3">
        <v>36.816888888888599</v>
      </c>
      <c r="F6" s="3">
        <v>50.664000000000101</v>
      </c>
      <c r="G6" s="3">
        <v>1.8723333333333601</v>
      </c>
      <c r="H6" s="3">
        <v>0.63200000000000001</v>
      </c>
      <c r="J6" s="7">
        <v>0.2</v>
      </c>
      <c r="K6" t="s">
        <v>24</v>
      </c>
      <c r="L6" s="6">
        <f t="shared" ref="L6:Q21" si="0">C6</f>
        <v>43.635999999999001</v>
      </c>
      <c r="M6" s="6">
        <f t="shared" si="0"/>
        <v>57.496000000001203</v>
      </c>
      <c r="N6" s="6">
        <f t="shared" si="0"/>
        <v>36.816888888888599</v>
      </c>
      <c r="O6" s="6">
        <f t="shared" si="0"/>
        <v>50.664000000000101</v>
      </c>
      <c r="P6" s="6">
        <f t="shared" si="0"/>
        <v>1.8723333333333601</v>
      </c>
      <c r="Q6" s="8">
        <f t="shared" si="0"/>
        <v>0.63200000000000001</v>
      </c>
      <c r="R6" s="7">
        <f t="shared" ref="R6:R12" si="1">_xlfn.RANK.EQ(S6,S$6:S$12,1)</f>
        <v>3</v>
      </c>
      <c r="S6">
        <f t="shared" ref="S6:S26" si="2">AVERAGE(T6:Y6)</f>
        <v>3.6666666666666665</v>
      </c>
      <c r="T6">
        <f t="shared" ref="T6:V12" si="3">(_xlfn.RANK.AVG(L6,L$6:L$12))</f>
        <v>5</v>
      </c>
      <c r="U6">
        <f t="shared" si="3"/>
        <v>5</v>
      </c>
      <c r="V6">
        <f t="shared" si="3"/>
        <v>3</v>
      </c>
      <c r="W6">
        <f t="shared" ref="W6:Y12" si="4">(_xlfn.RANK.AVG(O6,O$6:O$12,1))</f>
        <v>5</v>
      </c>
      <c r="X6">
        <f t="shared" si="4"/>
        <v>3</v>
      </c>
      <c r="Y6">
        <f t="shared" si="4"/>
        <v>1</v>
      </c>
    </row>
    <row r="7" spans="1:25">
      <c r="B7" t="s">
        <v>12</v>
      </c>
      <c r="C7" s="3">
        <v>44.145999999999297</v>
      </c>
      <c r="D7" s="3">
        <v>58.720000000000702</v>
      </c>
      <c r="E7" s="3">
        <v>37.121999999999602</v>
      </c>
      <c r="F7" s="3">
        <v>48.105999999999497</v>
      </c>
      <c r="G7" s="3">
        <v>2.1706666666666998</v>
      </c>
      <c r="H7" s="3">
        <v>0.69799999999999995</v>
      </c>
      <c r="J7" s="4"/>
      <c r="K7" t="s">
        <v>25</v>
      </c>
      <c r="L7" s="6">
        <f t="shared" si="0"/>
        <v>44.145999999999297</v>
      </c>
      <c r="M7" s="6">
        <f t="shared" si="0"/>
        <v>58.720000000000702</v>
      </c>
      <c r="N7" s="6">
        <f t="shared" si="0"/>
        <v>37.121999999999602</v>
      </c>
      <c r="O7" s="6">
        <f t="shared" si="0"/>
        <v>48.105999999999497</v>
      </c>
      <c r="P7" s="6">
        <f t="shared" si="0"/>
        <v>2.1706666666666998</v>
      </c>
      <c r="Q7" s="6">
        <f t="shared" si="0"/>
        <v>0.69799999999999995</v>
      </c>
      <c r="R7" s="7">
        <f t="shared" si="1"/>
        <v>1</v>
      </c>
      <c r="S7">
        <f t="shared" si="2"/>
        <v>2.8333333333333335</v>
      </c>
      <c r="T7">
        <f t="shared" si="3"/>
        <v>3</v>
      </c>
      <c r="U7">
        <f t="shared" si="3"/>
        <v>4</v>
      </c>
      <c r="V7">
        <f t="shared" si="3"/>
        <v>2</v>
      </c>
      <c r="W7">
        <f t="shared" si="4"/>
        <v>2</v>
      </c>
      <c r="X7">
        <f t="shared" si="4"/>
        <v>4</v>
      </c>
      <c r="Y7">
        <f t="shared" si="4"/>
        <v>2</v>
      </c>
    </row>
    <row r="8" spans="1:25">
      <c r="B8" t="s">
        <v>15</v>
      </c>
      <c r="C8" s="3">
        <v>43.671999999999699</v>
      </c>
      <c r="D8" s="3">
        <v>59.195999999999998</v>
      </c>
      <c r="E8" s="3">
        <v>37.195888888888497</v>
      </c>
      <c r="F8" s="3">
        <v>49.237999999998799</v>
      </c>
      <c r="G8" s="3">
        <v>2.9984444444445</v>
      </c>
      <c r="H8" s="3">
        <v>0.82199999999999995</v>
      </c>
      <c r="J8" s="4"/>
      <c r="K8" t="s">
        <v>26</v>
      </c>
      <c r="L8" s="6">
        <f t="shared" si="0"/>
        <v>43.671999999999699</v>
      </c>
      <c r="M8" s="6">
        <f t="shared" si="0"/>
        <v>59.195999999999998</v>
      </c>
      <c r="N8" s="8">
        <f t="shared" si="0"/>
        <v>37.195888888888497</v>
      </c>
      <c r="O8" s="6">
        <f t="shared" si="0"/>
        <v>49.237999999998799</v>
      </c>
      <c r="P8" s="6">
        <f t="shared" si="0"/>
        <v>2.9984444444445</v>
      </c>
      <c r="Q8" s="6">
        <f t="shared" si="0"/>
        <v>0.82199999999999995</v>
      </c>
      <c r="R8" s="7">
        <f t="shared" si="1"/>
        <v>4</v>
      </c>
      <c r="S8">
        <f t="shared" si="2"/>
        <v>3.8333333333333335</v>
      </c>
      <c r="T8">
        <f t="shared" si="3"/>
        <v>4</v>
      </c>
      <c r="U8">
        <f t="shared" si="3"/>
        <v>3</v>
      </c>
      <c r="V8">
        <f t="shared" si="3"/>
        <v>1</v>
      </c>
      <c r="W8">
        <f t="shared" si="4"/>
        <v>4</v>
      </c>
      <c r="X8">
        <f t="shared" si="4"/>
        <v>6</v>
      </c>
      <c r="Y8">
        <f t="shared" si="4"/>
        <v>5</v>
      </c>
    </row>
    <row r="9" spans="1:25">
      <c r="B9" t="s">
        <v>17</v>
      </c>
      <c r="C9" s="3">
        <v>42.9619999999992</v>
      </c>
      <c r="D9" s="3">
        <v>56.816000000000997</v>
      </c>
      <c r="E9" s="3">
        <v>36.115777777777602</v>
      </c>
      <c r="F9" s="3">
        <v>48.482000000000099</v>
      </c>
      <c r="G9" s="3">
        <v>1.73844444444446</v>
      </c>
      <c r="H9" s="3">
        <v>0.72</v>
      </c>
      <c r="J9" s="4"/>
      <c r="K9" t="s">
        <v>27</v>
      </c>
      <c r="L9" s="6">
        <f t="shared" si="0"/>
        <v>42.9619999999992</v>
      </c>
      <c r="M9" s="6">
        <f t="shared" si="0"/>
        <v>56.816000000000997</v>
      </c>
      <c r="N9" s="6">
        <f t="shared" si="0"/>
        <v>36.115777777777602</v>
      </c>
      <c r="O9" s="6">
        <f t="shared" si="0"/>
        <v>48.482000000000099</v>
      </c>
      <c r="P9" s="6">
        <f t="shared" si="0"/>
        <v>1.73844444444446</v>
      </c>
      <c r="Q9" s="6">
        <f t="shared" si="0"/>
        <v>0.72</v>
      </c>
      <c r="R9" s="7">
        <f t="shared" si="1"/>
        <v>5</v>
      </c>
      <c r="S9">
        <f t="shared" si="2"/>
        <v>4</v>
      </c>
      <c r="T9">
        <f t="shared" si="3"/>
        <v>6</v>
      </c>
      <c r="U9">
        <f t="shared" si="3"/>
        <v>6</v>
      </c>
      <c r="V9">
        <f t="shared" si="3"/>
        <v>4</v>
      </c>
      <c r="W9">
        <f t="shared" si="4"/>
        <v>3</v>
      </c>
      <c r="X9">
        <f t="shared" si="4"/>
        <v>2</v>
      </c>
      <c r="Y9">
        <f t="shared" si="4"/>
        <v>3</v>
      </c>
    </row>
    <row r="10" spans="1:25">
      <c r="B10" t="s">
        <v>16</v>
      </c>
      <c r="C10" s="3">
        <v>41.533999999999601</v>
      </c>
      <c r="D10" s="3">
        <v>55.542000000000598</v>
      </c>
      <c r="E10" s="3">
        <v>34.579555555555302</v>
      </c>
      <c r="F10" s="3">
        <v>52.673999999999403</v>
      </c>
      <c r="G10" s="3">
        <v>1.7017777777778</v>
      </c>
      <c r="H10" s="3">
        <v>0.74</v>
      </c>
      <c r="J10" s="4"/>
      <c r="K10" t="s">
        <v>28</v>
      </c>
      <c r="L10" s="6">
        <f t="shared" si="0"/>
        <v>41.533999999999601</v>
      </c>
      <c r="M10" s="6">
        <f t="shared" si="0"/>
        <v>55.542000000000598</v>
      </c>
      <c r="N10" s="6">
        <f t="shared" si="0"/>
        <v>34.579555555555302</v>
      </c>
      <c r="O10" s="6">
        <f t="shared" si="0"/>
        <v>52.673999999999403</v>
      </c>
      <c r="P10" s="8">
        <f t="shared" si="0"/>
        <v>1.7017777777778</v>
      </c>
      <c r="Q10" s="6">
        <f t="shared" si="0"/>
        <v>0.74</v>
      </c>
      <c r="R10" s="7">
        <f t="shared" si="1"/>
        <v>7</v>
      </c>
      <c r="S10">
        <f t="shared" si="2"/>
        <v>5.166666666666667</v>
      </c>
      <c r="T10">
        <f t="shared" si="3"/>
        <v>7</v>
      </c>
      <c r="U10">
        <f t="shared" si="3"/>
        <v>7</v>
      </c>
      <c r="V10">
        <f t="shared" si="3"/>
        <v>6</v>
      </c>
      <c r="W10">
        <f t="shared" si="4"/>
        <v>6</v>
      </c>
      <c r="X10">
        <f t="shared" si="4"/>
        <v>1</v>
      </c>
      <c r="Y10">
        <f t="shared" si="4"/>
        <v>4</v>
      </c>
    </row>
    <row r="11" spans="1:25">
      <c r="B11" t="s">
        <v>13</v>
      </c>
      <c r="C11" s="3">
        <v>44.651999999999703</v>
      </c>
      <c r="D11" s="3">
        <v>64.527999999999295</v>
      </c>
      <c r="E11" s="3">
        <v>31.931333333331398</v>
      </c>
      <c r="F11" s="3">
        <v>53.611999999999</v>
      </c>
      <c r="G11" s="3">
        <v>7.6333333333336499</v>
      </c>
      <c r="H11" s="3">
        <v>0.93400000000000005</v>
      </c>
      <c r="J11" s="4"/>
      <c r="K11" t="s">
        <v>29</v>
      </c>
      <c r="L11" s="6">
        <f t="shared" si="0"/>
        <v>44.651999999999703</v>
      </c>
      <c r="M11" s="8">
        <f t="shared" si="0"/>
        <v>64.527999999999295</v>
      </c>
      <c r="N11" s="6">
        <f t="shared" si="0"/>
        <v>31.931333333331398</v>
      </c>
      <c r="O11" s="6">
        <f t="shared" si="0"/>
        <v>53.611999999999</v>
      </c>
      <c r="P11" s="6">
        <f t="shared" si="0"/>
        <v>7.6333333333336499</v>
      </c>
      <c r="Q11" s="6">
        <f t="shared" si="0"/>
        <v>0.93400000000000005</v>
      </c>
      <c r="R11" s="7">
        <f t="shared" si="1"/>
        <v>6</v>
      </c>
      <c r="S11">
        <f t="shared" si="2"/>
        <v>5</v>
      </c>
      <c r="T11">
        <f t="shared" si="3"/>
        <v>2</v>
      </c>
      <c r="U11">
        <f t="shared" si="3"/>
        <v>1</v>
      </c>
      <c r="V11">
        <f t="shared" si="3"/>
        <v>7</v>
      </c>
      <c r="W11">
        <f t="shared" si="4"/>
        <v>7</v>
      </c>
      <c r="X11">
        <f t="shared" si="4"/>
        <v>7</v>
      </c>
      <c r="Y11">
        <f t="shared" si="4"/>
        <v>6</v>
      </c>
    </row>
    <row r="12" spans="1:25">
      <c r="B12" t="s">
        <v>14</v>
      </c>
      <c r="C12" s="3">
        <v>45.405999999999402</v>
      </c>
      <c r="D12" s="3">
        <v>63.4100000000007</v>
      </c>
      <c r="E12" s="3">
        <v>35.103555555555502</v>
      </c>
      <c r="F12" s="3">
        <v>39.862000000000002</v>
      </c>
      <c r="G12" s="3">
        <v>2.83766666666676</v>
      </c>
      <c r="H12" s="3">
        <v>1.212</v>
      </c>
      <c r="K12" t="s">
        <v>30</v>
      </c>
      <c r="L12" s="8">
        <f t="shared" si="0"/>
        <v>45.405999999999402</v>
      </c>
      <c r="M12" s="6">
        <f t="shared" si="0"/>
        <v>63.4100000000007</v>
      </c>
      <c r="N12" s="6">
        <f t="shared" si="0"/>
        <v>35.103555555555502</v>
      </c>
      <c r="O12" s="8">
        <f t="shared" si="0"/>
        <v>39.862000000000002</v>
      </c>
      <c r="P12" s="6">
        <f t="shared" si="0"/>
        <v>2.83766666666676</v>
      </c>
      <c r="Q12" s="6">
        <f t="shared" si="0"/>
        <v>1.212</v>
      </c>
      <c r="R12" s="7">
        <f t="shared" si="1"/>
        <v>2</v>
      </c>
      <c r="S12">
        <f t="shared" si="2"/>
        <v>3.5</v>
      </c>
      <c r="T12">
        <f t="shared" si="3"/>
        <v>1</v>
      </c>
      <c r="U12">
        <f t="shared" si="3"/>
        <v>2</v>
      </c>
      <c r="V12">
        <f t="shared" si="3"/>
        <v>5</v>
      </c>
      <c r="W12">
        <f t="shared" si="4"/>
        <v>1</v>
      </c>
      <c r="X12">
        <f t="shared" si="4"/>
        <v>5</v>
      </c>
      <c r="Y12">
        <f t="shared" si="4"/>
        <v>7</v>
      </c>
    </row>
    <row r="13" spans="1:25">
      <c r="A13" t="s">
        <v>46</v>
      </c>
      <c r="B13" t="s">
        <v>11</v>
      </c>
      <c r="C13" s="3">
        <v>46.037999999999101</v>
      </c>
      <c r="D13" s="3">
        <v>61.294000000000501</v>
      </c>
      <c r="E13" s="3">
        <v>39.383555555555297</v>
      </c>
      <c r="F13" s="3">
        <v>47.289999999999502</v>
      </c>
      <c r="G13" s="3">
        <v>3.16666666666673</v>
      </c>
      <c r="H13" s="3">
        <v>1.054</v>
      </c>
      <c r="J13">
        <v>0.3</v>
      </c>
      <c r="K13" t="s">
        <v>24</v>
      </c>
      <c r="L13" s="6">
        <f t="shared" si="0"/>
        <v>46.037999999999101</v>
      </c>
      <c r="M13" s="6">
        <f t="shared" si="0"/>
        <v>61.294000000000501</v>
      </c>
      <c r="N13" s="8">
        <f t="shared" si="0"/>
        <v>39.383555555555297</v>
      </c>
      <c r="O13" s="5">
        <f t="shared" si="0"/>
        <v>47.289999999999502</v>
      </c>
      <c r="P13" s="6">
        <f t="shared" si="0"/>
        <v>3.16666666666673</v>
      </c>
      <c r="Q13" s="6">
        <f t="shared" si="0"/>
        <v>1.054</v>
      </c>
      <c r="R13" s="7">
        <f t="shared" ref="R13:R19" si="5">_xlfn.RANK.EQ(S13,S$13:S$19,1)</f>
        <v>1</v>
      </c>
      <c r="S13">
        <f t="shared" si="2"/>
        <v>3</v>
      </c>
      <c r="T13">
        <f t="shared" ref="T13:V19" si="6">(_xlfn.RANK.AVG(L13,L$13:L$19))</f>
        <v>3</v>
      </c>
      <c r="U13">
        <f t="shared" si="6"/>
        <v>5</v>
      </c>
      <c r="V13">
        <f t="shared" si="6"/>
        <v>1</v>
      </c>
      <c r="W13">
        <f t="shared" ref="W13:Y19" si="7">(_xlfn.RANK.AVG(O13,O$13:O$19,1))</f>
        <v>4</v>
      </c>
      <c r="X13">
        <f t="shared" si="7"/>
        <v>3</v>
      </c>
      <c r="Y13">
        <f t="shared" si="7"/>
        <v>2</v>
      </c>
    </row>
    <row r="14" spans="1:25">
      <c r="B14" t="s">
        <v>12</v>
      </c>
      <c r="C14" s="3">
        <v>45.801999999999403</v>
      </c>
      <c r="D14" s="3">
        <v>61.800000000000097</v>
      </c>
      <c r="E14" s="3">
        <v>39.336111111110903</v>
      </c>
      <c r="F14" s="3">
        <v>46.931999999999199</v>
      </c>
      <c r="G14" s="3">
        <v>3.3865555555556202</v>
      </c>
      <c r="H14" s="3">
        <v>1.0920000000000001</v>
      </c>
      <c r="K14" t="s">
        <v>25</v>
      </c>
      <c r="L14" s="6">
        <f t="shared" si="0"/>
        <v>45.801999999999403</v>
      </c>
      <c r="M14" s="6">
        <f t="shared" si="0"/>
        <v>61.800000000000097</v>
      </c>
      <c r="N14" s="6">
        <f t="shared" si="0"/>
        <v>39.336111111110903</v>
      </c>
      <c r="O14" s="5">
        <f t="shared" si="0"/>
        <v>46.931999999999199</v>
      </c>
      <c r="P14" s="6">
        <f t="shared" si="0"/>
        <v>3.3865555555556202</v>
      </c>
      <c r="Q14" s="6">
        <f t="shared" si="0"/>
        <v>1.0920000000000001</v>
      </c>
      <c r="R14" s="7">
        <f t="shared" si="5"/>
        <v>3</v>
      </c>
      <c r="S14">
        <f t="shared" si="2"/>
        <v>3.5</v>
      </c>
      <c r="T14">
        <f t="shared" si="6"/>
        <v>5</v>
      </c>
      <c r="U14">
        <f t="shared" si="6"/>
        <v>4</v>
      </c>
      <c r="V14">
        <f t="shared" si="6"/>
        <v>2</v>
      </c>
      <c r="W14">
        <f t="shared" si="7"/>
        <v>3</v>
      </c>
      <c r="X14">
        <f t="shared" si="7"/>
        <v>4</v>
      </c>
      <c r="Y14">
        <f t="shared" si="7"/>
        <v>3</v>
      </c>
    </row>
    <row r="15" spans="1:25">
      <c r="B15" t="s">
        <v>15</v>
      </c>
      <c r="C15" s="3">
        <v>45.841999999999402</v>
      </c>
      <c r="D15" s="3">
        <v>62.937999999999697</v>
      </c>
      <c r="E15" s="3">
        <v>38.781666666666403</v>
      </c>
      <c r="F15" s="3">
        <v>46.617999999999299</v>
      </c>
      <c r="G15" s="3">
        <v>4.4823333333334201</v>
      </c>
      <c r="H15" s="3">
        <v>1.21</v>
      </c>
      <c r="K15" t="s">
        <v>26</v>
      </c>
      <c r="L15" s="6">
        <f t="shared" si="0"/>
        <v>45.841999999999402</v>
      </c>
      <c r="M15" s="6">
        <f t="shared" si="0"/>
        <v>62.937999999999697</v>
      </c>
      <c r="N15" s="6">
        <f t="shared" si="0"/>
        <v>38.781666666666403</v>
      </c>
      <c r="O15" s="6">
        <f t="shared" si="0"/>
        <v>46.617999999999299</v>
      </c>
      <c r="P15" s="6">
        <f t="shared" si="0"/>
        <v>4.4823333333334201</v>
      </c>
      <c r="Q15" s="6">
        <f t="shared" si="0"/>
        <v>1.21</v>
      </c>
      <c r="R15" s="7">
        <f t="shared" si="5"/>
        <v>4</v>
      </c>
      <c r="S15">
        <f t="shared" si="2"/>
        <v>3.8333333333333335</v>
      </c>
      <c r="T15">
        <f t="shared" si="6"/>
        <v>4</v>
      </c>
      <c r="U15">
        <f t="shared" si="6"/>
        <v>3</v>
      </c>
      <c r="V15">
        <f t="shared" si="6"/>
        <v>3</v>
      </c>
      <c r="W15">
        <f t="shared" si="7"/>
        <v>2</v>
      </c>
      <c r="X15">
        <f t="shared" si="7"/>
        <v>6</v>
      </c>
      <c r="Y15">
        <f t="shared" si="7"/>
        <v>5</v>
      </c>
    </row>
    <row r="16" spans="1:25">
      <c r="B16" t="s">
        <v>17</v>
      </c>
      <c r="C16" s="3">
        <v>44.825999999998999</v>
      </c>
      <c r="D16" s="3">
        <v>58.8940000000011</v>
      </c>
      <c r="E16" s="3">
        <v>37.330888888888701</v>
      </c>
      <c r="F16" s="3">
        <v>48.086000000000098</v>
      </c>
      <c r="G16" s="3">
        <v>1.77922222222224</v>
      </c>
      <c r="H16" s="3">
        <v>1.03</v>
      </c>
      <c r="K16" t="s">
        <v>27</v>
      </c>
      <c r="L16" s="6">
        <f t="shared" si="0"/>
        <v>44.825999999998999</v>
      </c>
      <c r="M16" s="6">
        <f t="shared" si="0"/>
        <v>58.8940000000011</v>
      </c>
      <c r="N16" s="6">
        <f t="shared" si="0"/>
        <v>37.330888888888701</v>
      </c>
      <c r="O16" s="5">
        <f t="shared" si="0"/>
        <v>48.086000000000098</v>
      </c>
      <c r="P16" s="8">
        <f t="shared" si="0"/>
        <v>1.77922222222224</v>
      </c>
      <c r="Q16" s="8">
        <f t="shared" si="0"/>
        <v>1.03</v>
      </c>
      <c r="R16" s="7">
        <f t="shared" si="5"/>
        <v>5</v>
      </c>
      <c r="S16">
        <f t="shared" si="2"/>
        <v>4.333333333333333</v>
      </c>
      <c r="T16">
        <f t="shared" si="6"/>
        <v>7</v>
      </c>
      <c r="U16">
        <f t="shared" si="6"/>
        <v>7</v>
      </c>
      <c r="V16">
        <f t="shared" si="6"/>
        <v>5</v>
      </c>
      <c r="W16">
        <f t="shared" si="7"/>
        <v>5</v>
      </c>
      <c r="X16">
        <f t="shared" si="7"/>
        <v>1</v>
      </c>
      <c r="Y16">
        <f t="shared" si="7"/>
        <v>1</v>
      </c>
    </row>
    <row r="17" spans="1:25">
      <c r="B17" t="s">
        <v>16</v>
      </c>
      <c r="C17" s="3">
        <v>44.959999999999503</v>
      </c>
      <c r="D17" s="3">
        <v>60.698000000000199</v>
      </c>
      <c r="E17" s="3">
        <v>37.281444444443999</v>
      </c>
      <c r="F17" s="3">
        <v>48.793999999998903</v>
      </c>
      <c r="G17" s="3">
        <v>2.5522222222222499</v>
      </c>
      <c r="H17" s="3">
        <v>1.1180000000000001</v>
      </c>
      <c r="K17" t="s">
        <v>28</v>
      </c>
      <c r="L17" s="6">
        <f t="shared" si="0"/>
        <v>44.959999999999503</v>
      </c>
      <c r="M17" s="6">
        <f t="shared" si="0"/>
        <v>60.698000000000199</v>
      </c>
      <c r="N17" s="6">
        <f t="shared" si="0"/>
        <v>37.281444444443999</v>
      </c>
      <c r="O17" s="5">
        <f t="shared" si="0"/>
        <v>48.793999999998903</v>
      </c>
      <c r="P17" s="6">
        <f t="shared" si="0"/>
        <v>2.5522222222222499</v>
      </c>
      <c r="Q17" s="6">
        <f t="shared" si="0"/>
        <v>1.1180000000000001</v>
      </c>
      <c r="R17" s="7">
        <f t="shared" si="5"/>
        <v>6</v>
      </c>
      <c r="S17">
        <f t="shared" si="2"/>
        <v>5</v>
      </c>
      <c r="T17">
        <f t="shared" si="6"/>
        <v>6</v>
      </c>
      <c r="U17">
        <f t="shared" si="6"/>
        <v>6</v>
      </c>
      <c r="V17">
        <f t="shared" si="6"/>
        <v>6</v>
      </c>
      <c r="W17">
        <f t="shared" si="7"/>
        <v>6</v>
      </c>
      <c r="X17">
        <f t="shared" si="7"/>
        <v>2</v>
      </c>
      <c r="Y17">
        <f t="shared" si="7"/>
        <v>4</v>
      </c>
    </row>
    <row r="18" spans="1:25">
      <c r="B18" t="s">
        <v>13</v>
      </c>
      <c r="C18" s="3">
        <v>46.061999999999401</v>
      </c>
      <c r="D18" s="3">
        <v>65.215999999999497</v>
      </c>
      <c r="E18" s="3">
        <v>31.954222222220199</v>
      </c>
      <c r="F18" s="3">
        <v>53.491999999999202</v>
      </c>
      <c r="G18" s="3">
        <v>6.9598888888891199</v>
      </c>
      <c r="H18" s="3">
        <v>1.4319999999999999</v>
      </c>
      <c r="K18" t="s">
        <v>29</v>
      </c>
      <c r="L18" s="6">
        <f t="shared" si="0"/>
        <v>46.061999999999401</v>
      </c>
      <c r="M18" s="6">
        <f t="shared" si="0"/>
        <v>65.215999999999497</v>
      </c>
      <c r="N18" s="6">
        <f t="shared" si="0"/>
        <v>31.954222222220199</v>
      </c>
      <c r="O18" s="5">
        <f t="shared" si="0"/>
        <v>53.491999999999202</v>
      </c>
      <c r="P18" s="6">
        <f t="shared" si="0"/>
        <v>6.9598888888891199</v>
      </c>
      <c r="Q18" s="6">
        <f t="shared" si="0"/>
        <v>1.4319999999999999</v>
      </c>
      <c r="R18" s="7">
        <f t="shared" si="5"/>
        <v>7</v>
      </c>
      <c r="S18">
        <f t="shared" si="2"/>
        <v>5.166666666666667</v>
      </c>
      <c r="T18">
        <f t="shared" si="6"/>
        <v>2</v>
      </c>
      <c r="U18">
        <f t="shared" si="6"/>
        <v>2</v>
      </c>
      <c r="V18">
        <f t="shared" si="6"/>
        <v>7</v>
      </c>
      <c r="W18">
        <f t="shared" si="7"/>
        <v>7</v>
      </c>
      <c r="X18">
        <f t="shared" si="7"/>
        <v>7</v>
      </c>
      <c r="Y18">
        <f t="shared" si="7"/>
        <v>6</v>
      </c>
    </row>
    <row r="19" spans="1:25">
      <c r="B19" t="s">
        <v>14</v>
      </c>
      <c r="C19" s="3">
        <v>47.979999999999002</v>
      </c>
      <c r="D19" s="3">
        <v>67.280000000000499</v>
      </c>
      <c r="E19" s="3">
        <v>37.5562222222214</v>
      </c>
      <c r="F19" s="3">
        <v>36.8560000000004</v>
      </c>
      <c r="G19" s="3">
        <v>4.07488888888905</v>
      </c>
      <c r="H19" s="3">
        <v>1.76199999999999</v>
      </c>
      <c r="K19" t="s">
        <v>30</v>
      </c>
      <c r="L19" s="8">
        <f t="shared" si="0"/>
        <v>47.979999999999002</v>
      </c>
      <c r="M19" s="8">
        <f t="shared" si="0"/>
        <v>67.280000000000499</v>
      </c>
      <c r="N19" s="6">
        <f t="shared" si="0"/>
        <v>37.5562222222214</v>
      </c>
      <c r="O19" s="8">
        <f t="shared" si="0"/>
        <v>36.8560000000004</v>
      </c>
      <c r="P19" s="6">
        <f t="shared" si="0"/>
        <v>4.07488888888905</v>
      </c>
      <c r="Q19" s="6">
        <f t="shared" si="0"/>
        <v>1.76199999999999</v>
      </c>
      <c r="R19" s="7">
        <f t="shared" si="5"/>
        <v>2</v>
      </c>
      <c r="S19">
        <f t="shared" si="2"/>
        <v>3.1666666666666665</v>
      </c>
      <c r="T19">
        <f t="shared" si="6"/>
        <v>1</v>
      </c>
      <c r="U19">
        <f t="shared" si="6"/>
        <v>1</v>
      </c>
      <c r="V19">
        <f t="shared" si="6"/>
        <v>4</v>
      </c>
      <c r="W19">
        <f t="shared" si="7"/>
        <v>1</v>
      </c>
      <c r="X19">
        <f t="shared" si="7"/>
        <v>5</v>
      </c>
      <c r="Y19">
        <f t="shared" si="7"/>
        <v>7</v>
      </c>
    </row>
    <row r="20" spans="1:25">
      <c r="A20" t="s">
        <v>47</v>
      </c>
      <c r="B20" t="s">
        <v>11</v>
      </c>
      <c r="C20" s="3">
        <v>46.285999999999099</v>
      </c>
      <c r="D20" s="3">
        <v>61.124000000000599</v>
      </c>
      <c r="E20" s="3">
        <v>38.754444444444303</v>
      </c>
      <c r="F20" s="3">
        <v>47.739999999999696</v>
      </c>
      <c r="G20" s="3">
        <v>2.58511111111115</v>
      </c>
      <c r="H20" s="3">
        <v>1.226</v>
      </c>
      <c r="J20">
        <v>0.4</v>
      </c>
      <c r="K20" t="s">
        <v>24</v>
      </c>
      <c r="L20" s="6">
        <f t="shared" si="0"/>
        <v>46.285999999999099</v>
      </c>
      <c r="M20" s="6">
        <f t="shared" si="0"/>
        <v>61.124000000000599</v>
      </c>
      <c r="N20" s="6">
        <f t="shared" si="0"/>
        <v>38.754444444444303</v>
      </c>
      <c r="O20" s="5">
        <f t="shared" si="0"/>
        <v>47.739999999999696</v>
      </c>
      <c r="P20" s="6">
        <f t="shared" si="0"/>
        <v>2.58511111111115</v>
      </c>
      <c r="Q20" s="8">
        <f t="shared" si="0"/>
        <v>1.226</v>
      </c>
      <c r="R20" s="7">
        <f t="shared" ref="R20:R26" si="8">_xlfn.RANK.EQ(S20,S$20:S$26,1)</f>
        <v>1</v>
      </c>
      <c r="S20">
        <f t="shared" si="2"/>
        <v>3.3333333333333335</v>
      </c>
      <c r="T20">
        <f t="shared" ref="T20:V26" si="9">(_xlfn.RANK.AVG(L20,L$20:L$26))</f>
        <v>3</v>
      </c>
      <c r="U20">
        <f t="shared" si="9"/>
        <v>6</v>
      </c>
      <c r="V20">
        <f t="shared" si="9"/>
        <v>2</v>
      </c>
      <c r="W20">
        <f t="shared" ref="W20:Y26" si="10">(_xlfn.RANK.AVG(O20,O$20:O$26,1))</f>
        <v>6</v>
      </c>
      <c r="X20">
        <f t="shared" si="10"/>
        <v>2</v>
      </c>
      <c r="Y20">
        <f t="shared" si="10"/>
        <v>1</v>
      </c>
    </row>
    <row r="21" spans="1:25">
      <c r="B21" t="s">
        <v>12</v>
      </c>
      <c r="C21" s="3">
        <v>46.045999999999303</v>
      </c>
      <c r="D21" s="3">
        <v>61.75</v>
      </c>
      <c r="E21" s="3">
        <v>38.632222222221998</v>
      </c>
      <c r="F21" s="3">
        <v>47.555999999999102</v>
      </c>
      <c r="G21" s="3">
        <v>2.97688888888894</v>
      </c>
      <c r="H21" s="3">
        <v>1.4019999999999999</v>
      </c>
      <c r="K21" t="s">
        <v>25</v>
      </c>
      <c r="L21" s="6">
        <f t="shared" si="0"/>
        <v>46.045999999999303</v>
      </c>
      <c r="M21" s="6">
        <f t="shared" si="0"/>
        <v>61.75</v>
      </c>
      <c r="N21" s="6">
        <f t="shared" si="0"/>
        <v>38.632222222221998</v>
      </c>
      <c r="O21" s="5">
        <f t="shared" si="0"/>
        <v>47.555999999999102</v>
      </c>
      <c r="P21" s="6">
        <f t="shared" si="0"/>
        <v>2.97688888888894</v>
      </c>
      <c r="Q21" s="6">
        <f t="shared" si="0"/>
        <v>1.4019999999999999</v>
      </c>
      <c r="R21" s="7">
        <f t="shared" si="8"/>
        <v>5</v>
      </c>
      <c r="S21">
        <f t="shared" si="2"/>
        <v>4</v>
      </c>
      <c r="T21">
        <f t="shared" si="9"/>
        <v>5</v>
      </c>
      <c r="U21">
        <f t="shared" si="9"/>
        <v>5</v>
      </c>
      <c r="V21">
        <f t="shared" si="9"/>
        <v>3</v>
      </c>
      <c r="W21">
        <f t="shared" si="10"/>
        <v>5</v>
      </c>
      <c r="X21">
        <f t="shared" si="10"/>
        <v>3</v>
      </c>
      <c r="Y21">
        <f t="shared" si="10"/>
        <v>3</v>
      </c>
    </row>
    <row r="22" spans="1:25">
      <c r="B22" t="s">
        <v>15</v>
      </c>
      <c r="C22" s="3">
        <v>46.791999999999298</v>
      </c>
      <c r="D22" s="3">
        <v>63.601999999999698</v>
      </c>
      <c r="E22" s="3">
        <v>38.781444444444297</v>
      </c>
      <c r="F22" s="3">
        <v>45.193999999999598</v>
      </c>
      <c r="G22" s="3">
        <v>4.57966666666674</v>
      </c>
      <c r="H22" s="3">
        <v>1.6439999999999899</v>
      </c>
      <c r="K22" t="s">
        <v>26</v>
      </c>
      <c r="L22" s="6">
        <f t="shared" ref="L22:Q26" si="11">C22</f>
        <v>46.791999999999298</v>
      </c>
      <c r="M22" s="6">
        <f t="shared" si="11"/>
        <v>63.601999999999698</v>
      </c>
      <c r="N22" s="8">
        <f t="shared" si="11"/>
        <v>38.781444444444297</v>
      </c>
      <c r="O22" s="6">
        <f t="shared" si="11"/>
        <v>45.193999999999598</v>
      </c>
      <c r="P22" s="6">
        <f t="shared" si="11"/>
        <v>4.57966666666674</v>
      </c>
      <c r="Q22" s="6">
        <f t="shared" si="11"/>
        <v>1.6439999999999899</v>
      </c>
      <c r="R22" s="7">
        <f t="shared" si="8"/>
        <v>1</v>
      </c>
      <c r="S22">
        <f t="shared" si="2"/>
        <v>3.3333333333333335</v>
      </c>
      <c r="T22">
        <f t="shared" si="9"/>
        <v>2</v>
      </c>
      <c r="U22">
        <f t="shared" si="9"/>
        <v>3</v>
      </c>
      <c r="V22">
        <f t="shared" si="9"/>
        <v>1</v>
      </c>
      <c r="W22">
        <f t="shared" si="10"/>
        <v>2</v>
      </c>
      <c r="X22">
        <f t="shared" si="10"/>
        <v>6</v>
      </c>
      <c r="Y22">
        <f t="shared" si="10"/>
        <v>6</v>
      </c>
    </row>
    <row r="23" spans="1:25">
      <c r="B23" t="s">
        <v>17</v>
      </c>
      <c r="C23" s="3">
        <v>45.801999999999097</v>
      </c>
      <c r="D23" s="3">
        <v>60.924000000000703</v>
      </c>
      <c r="E23" s="3">
        <v>38.307333333333098</v>
      </c>
      <c r="F23" s="3">
        <v>45.961999999999897</v>
      </c>
      <c r="G23" s="3">
        <v>2.3016666666667001</v>
      </c>
      <c r="H23" s="3">
        <v>1.3560000000000001</v>
      </c>
      <c r="K23" t="s">
        <v>27</v>
      </c>
      <c r="L23" s="6">
        <f t="shared" si="11"/>
        <v>45.801999999999097</v>
      </c>
      <c r="M23" s="6">
        <f t="shared" si="11"/>
        <v>60.924000000000703</v>
      </c>
      <c r="N23" s="6">
        <f t="shared" si="11"/>
        <v>38.307333333333098</v>
      </c>
      <c r="O23" s="5">
        <f t="shared" si="11"/>
        <v>45.961999999999897</v>
      </c>
      <c r="P23" s="8">
        <f t="shared" si="11"/>
        <v>2.3016666666667001</v>
      </c>
      <c r="Q23" s="6">
        <f t="shared" si="11"/>
        <v>1.3560000000000001</v>
      </c>
      <c r="R23" s="7">
        <f t="shared" si="8"/>
        <v>4</v>
      </c>
      <c r="S23">
        <f t="shared" si="2"/>
        <v>3.8333333333333335</v>
      </c>
      <c r="T23">
        <f t="shared" si="9"/>
        <v>6</v>
      </c>
      <c r="U23">
        <f t="shared" si="9"/>
        <v>7</v>
      </c>
      <c r="V23">
        <f t="shared" si="9"/>
        <v>4</v>
      </c>
      <c r="W23">
        <f t="shared" si="10"/>
        <v>3</v>
      </c>
      <c r="X23">
        <f t="shared" si="10"/>
        <v>1</v>
      </c>
      <c r="Y23">
        <f t="shared" si="10"/>
        <v>2</v>
      </c>
    </row>
    <row r="24" spans="1:25">
      <c r="B24" t="s">
        <v>16</v>
      </c>
      <c r="C24" s="3">
        <v>46.081999999999397</v>
      </c>
      <c r="D24" s="3">
        <v>62.395999999999901</v>
      </c>
      <c r="E24" s="3">
        <v>38.107666666666503</v>
      </c>
      <c r="F24" s="3">
        <v>46.923999999999303</v>
      </c>
      <c r="G24" s="3">
        <v>3.2930000000000499</v>
      </c>
      <c r="H24" s="3">
        <v>1.538</v>
      </c>
      <c r="K24" t="s">
        <v>28</v>
      </c>
      <c r="L24" s="6">
        <f t="shared" si="11"/>
        <v>46.081999999999397</v>
      </c>
      <c r="M24" s="6">
        <f t="shared" si="11"/>
        <v>62.395999999999901</v>
      </c>
      <c r="N24" s="6">
        <f t="shared" si="11"/>
        <v>38.107666666666503</v>
      </c>
      <c r="O24" s="5">
        <f t="shared" si="11"/>
        <v>46.923999999999303</v>
      </c>
      <c r="P24" s="6">
        <f t="shared" si="11"/>
        <v>3.2930000000000499</v>
      </c>
      <c r="Q24" s="6">
        <f t="shared" si="11"/>
        <v>1.538</v>
      </c>
      <c r="R24" s="7">
        <f t="shared" si="8"/>
        <v>6</v>
      </c>
      <c r="S24">
        <f t="shared" si="2"/>
        <v>4.333333333333333</v>
      </c>
      <c r="T24">
        <f t="shared" si="9"/>
        <v>4</v>
      </c>
      <c r="U24">
        <f t="shared" si="9"/>
        <v>4</v>
      </c>
      <c r="V24">
        <f t="shared" si="9"/>
        <v>5</v>
      </c>
      <c r="W24">
        <f t="shared" si="10"/>
        <v>4</v>
      </c>
      <c r="X24">
        <f t="shared" si="10"/>
        <v>4</v>
      </c>
      <c r="Y24">
        <f t="shared" si="10"/>
        <v>5</v>
      </c>
    </row>
    <row r="25" spans="1:25">
      <c r="B25" t="s">
        <v>13</v>
      </c>
      <c r="C25" s="3">
        <v>45.419999999999597</v>
      </c>
      <c r="D25" s="3">
        <v>64.187999999999803</v>
      </c>
      <c r="E25" s="3">
        <v>30.920888888887099</v>
      </c>
      <c r="F25" s="3">
        <v>51.125999999998697</v>
      </c>
      <c r="G25" s="3">
        <v>5.2193333333334504</v>
      </c>
      <c r="H25" s="3">
        <v>1.53</v>
      </c>
      <c r="K25" t="s">
        <v>29</v>
      </c>
      <c r="L25" s="6">
        <f t="shared" si="11"/>
        <v>45.419999999999597</v>
      </c>
      <c r="M25" s="6">
        <f t="shared" si="11"/>
        <v>64.187999999999803</v>
      </c>
      <c r="N25" s="6">
        <f t="shared" si="11"/>
        <v>30.920888888887099</v>
      </c>
      <c r="O25" s="5">
        <f t="shared" si="11"/>
        <v>51.125999999998697</v>
      </c>
      <c r="P25" s="6">
        <f t="shared" si="11"/>
        <v>5.2193333333334504</v>
      </c>
      <c r="Q25" s="6">
        <f t="shared" si="11"/>
        <v>1.53</v>
      </c>
      <c r="R25" s="7">
        <f t="shared" si="8"/>
        <v>7</v>
      </c>
      <c r="S25">
        <f t="shared" si="2"/>
        <v>5.666666666666667</v>
      </c>
      <c r="T25">
        <f t="shared" si="9"/>
        <v>7</v>
      </c>
      <c r="U25">
        <f t="shared" si="9"/>
        <v>2</v>
      </c>
      <c r="V25">
        <f t="shared" si="9"/>
        <v>7</v>
      </c>
      <c r="W25">
        <f t="shared" si="10"/>
        <v>7</v>
      </c>
      <c r="X25">
        <f t="shared" si="10"/>
        <v>7</v>
      </c>
      <c r="Y25">
        <f t="shared" si="10"/>
        <v>4</v>
      </c>
    </row>
    <row r="26" spans="1:25">
      <c r="B26" t="s">
        <v>14</v>
      </c>
      <c r="C26" s="3">
        <v>47.301999999999197</v>
      </c>
      <c r="D26" s="3">
        <v>66.680000000000405</v>
      </c>
      <c r="E26" s="3">
        <v>36.899555555555096</v>
      </c>
      <c r="F26" s="3">
        <v>38.093999999999902</v>
      </c>
      <c r="G26" s="3">
        <v>3.4481111111112202</v>
      </c>
      <c r="H26" s="3">
        <v>2.0839999999999899</v>
      </c>
      <c r="K26" t="s">
        <v>30</v>
      </c>
      <c r="L26" s="8">
        <f t="shared" si="11"/>
        <v>47.301999999999197</v>
      </c>
      <c r="M26" s="8">
        <f t="shared" si="11"/>
        <v>66.680000000000405</v>
      </c>
      <c r="N26" s="6">
        <f t="shared" si="11"/>
        <v>36.899555555555096</v>
      </c>
      <c r="O26" s="8">
        <f t="shared" si="11"/>
        <v>38.093999999999902</v>
      </c>
      <c r="P26" s="6">
        <f t="shared" si="11"/>
        <v>3.4481111111112202</v>
      </c>
      <c r="Q26" s="6">
        <f t="shared" si="11"/>
        <v>2.0839999999999899</v>
      </c>
      <c r="R26" s="7">
        <f t="shared" si="8"/>
        <v>3</v>
      </c>
      <c r="S26">
        <f t="shared" si="2"/>
        <v>3.5</v>
      </c>
      <c r="T26">
        <f t="shared" si="9"/>
        <v>1</v>
      </c>
      <c r="U26">
        <f t="shared" si="9"/>
        <v>1</v>
      </c>
      <c r="V26">
        <f t="shared" si="9"/>
        <v>6</v>
      </c>
      <c r="W26">
        <f t="shared" si="10"/>
        <v>1</v>
      </c>
      <c r="X26">
        <f t="shared" si="10"/>
        <v>5</v>
      </c>
      <c r="Y26">
        <f t="shared" si="10"/>
        <v>7</v>
      </c>
    </row>
    <row r="27" spans="1:25">
      <c r="A27" t="s">
        <v>18</v>
      </c>
      <c r="C27" s="3">
        <v>951.24799999998584</v>
      </c>
      <c r="D27" s="3">
        <v>1294.4920000000061</v>
      </c>
      <c r="E27" s="3">
        <v>770.89266666665594</v>
      </c>
      <c r="F27" s="3">
        <v>993.3019999999899</v>
      </c>
      <c r="G27" s="3">
        <v>71.758222222223878</v>
      </c>
      <c r="H27" s="3">
        <v>25.235999999999976</v>
      </c>
      <c r="L27" s="6"/>
      <c r="M27" s="5"/>
      <c r="N27" s="6"/>
      <c r="O27" s="5"/>
      <c r="P27" s="5"/>
      <c r="Q27" s="5"/>
      <c r="R27" s="7"/>
    </row>
    <row r="28" spans="1:25">
      <c r="L28" s="6"/>
      <c r="M28" s="5"/>
      <c r="N28" s="8"/>
      <c r="O28" s="5"/>
      <c r="P28" s="5"/>
      <c r="Q28" s="5"/>
      <c r="R28" s="7"/>
    </row>
    <row r="29" spans="1:25">
      <c r="L29" s="6"/>
      <c r="M29" s="6"/>
      <c r="N29" s="6"/>
      <c r="O29" s="6"/>
      <c r="P29" s="6"/>
      <c r="Q29" s="5"/>
      <c r="R29" s="7"/>
    </row>
    <row r="30" spans="1:25">
      <c r="L30" s="6"/>
      <c r="M30" s="5"/>
      <c r="N30" s="5"/>
      <c r="O30" s="5"/>
      <c r="P30" s="8"/>
      <c r="Q30" s="5"/>
      <c r="R30" s="7"/>
    </row>
    <row r="31" spans="1:25">
      <c r="L31" s="6"/>
      <c r="M31" s="5"/>
      <c r="N31" s="5"/>
      <c r="O31" s="5"/>
      <c r="P31" s="5"/>
      <c r="Q31" s="6"/>
      <c r="R31" s="7"/>
    </row>
    <row r="32" spans="1:25">
      <c r="L32" s="6"/>
      <c r="M32" s="5"/>
      <c r="N32" s="5"/>
      <c r="O32" s="5"/>
      <c r="P32" s="5"/>
      <c r="Q32" s="5"/>
      <c r="R32" s="7"/>
    </row>
    <row r="33" spans="12:18">
      <c r="L33" s="6"/>
      <c r="M33" s="8"/>
      <c r="N33" s="5"/>
      <c r="O33" s="8"/>
      <c r="P33" s="5"/>
      <c r="Q33" s="5"/>
      <c r="R33" s="7"/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8BB43-D838-4C7C-A18D-8CE50B6DE66A}">
  <sheetPr codeName="Sheet4"/>
  <dimension ref="A1:Y34"/>
  <sheetViews>
    <sheetView topLeftCell="J3" workbookViewId="0">
      <selection activeCell="R19" sqref="R19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9" width="11.90625" bestFit="1" customWidth="1"/>
    <col min="10" max="52" width="14.81640625" bestFit="1" customWidth="1"/>
    <col min="53" max="53" width="14.81640625" customWidth="1"/>
    <col min="54" max="74" width="14.81640625" bestFit="1" customWidth="1"/>
    <col min="75" max="76" width="16.86328125" bestFit="1" customWidth="1"/>
    <col min="77" max="77" width="17.1328125" bestFit="1" customWidth="1"/>
    <col min="78" max="78" width="17.81640625" bestFit="1" customWidth="1"/>
    <col min="79" max="79" width="19.58984375" bestFit="1" customWidth="1"/>
    <col min="80" max="80" width="16.6796875" bestFit="1" customWidth="1"/>
  </cols>
  <sheetData>
    <row r="1" spans="1:25">
      <c r="A1" s="1" t="s">
        <v>2</v>
      </c>
      <c r="B1" s="2">
        <v>1</v>
      </c>
    </row>
    <row r="2" spans="1:25">
      <c r="A2" s="1" t="s">
        <v>1</v>
      </c>
      <c r="B2" s="2">
        <v>1</v>
      </c>
    </row>
    <row r="3" spans="1:25">
      <c r="A3" s="1" t="s">
        <v>0</v>
      </c>
      <c r="B3" s="2">
        <v>18</v>
      </c>
    </row>
    <row r="5" spans="1:25">
      <c r="A5" s="1" t="s">
        <v>43</v>
      </c>
      <c r="B5" s="1" t="s">
        <v>10</v>
      </c>
      <c r="C5" t="s">
        <v>19</v>
      </c>
      <c r="D5" t="s">
        <v>20</v>
      </c>
      <c r="E5" t="s">
        <v>21</v>
      </c>
      <c r="F5" t="s">
        <v>22</v>
      </c>
      <c r="G5" t="s">
        <v>23</v>
      </c>
      <c r="H5" t="s">
        <v>37</v>
      </c>
      <c r="J5" t="s">
        <v>50</v>
      </c>
      <c r="K5" t="s">
        <v>31</v>
      </c>
      <c r="L5" t="s">
        <v>32</v>
      </c>
      <c r="M5" t="s">
        <v>33</v>
      </c>
      <c r="N5" t="s">
        <v>34</v>
      </c>
      <c r="O5" t="s">
        <v>35</v>
      </c>
      <c r="P5" t="s">
        <v>38</v>
      </c>
      <c r="Q5" t="s">
        <v>39</v>
      </c>
      <c r="R5" t="s">
        <v>40</v>
      </c>
    </row>
    <row r="6" spans="1:25">
      <c r="A6" t="s">
        <v>44</v>
      </c>
      <c r="B6" t="s">
        <v>11</v>
      </c>
      <c r="C6" s="3">
        <v>46.467999999999201</v>
      </c>
      <c r="D6" s="3">
        <v>62.867999999999498</v>
      </c>
      <c r="E6" s="3">
        <v>38.5511111111106</v>
      </c>
      <c r="F6" s="3">
        <v>43.737999999999701</v>
      </c>
      <c r="G6" s="3">
        <v>3.5195555555556601</v>
      </c>
      <c r="H6" s="3">
        <v>0.56200000000000006</v>
      </c>
      <c r="J6" s="7">
        <v>0.1</v>
      </c>
      <c r="K6" t="s">
        <v>24</v>
      </c>
      <c r="L6" s="6">
        <f t="shared" ref="L6:Q21" si="0">C6</f>
        <v>46.467999999999201</v>
      </c>
      <c r="M6" s="6">
        <f t="shared" si="0"/>
        <v>62.867999999999498</v>
      </c>
      <c r="N6" s="8">
        <f t="shared" si="0"/>
        <v>38.5511111111106</v>
      </c>
      <c r="O6" s="6">
        <f t="shared" si="0"/>
        <v>43.737999999999701</v>
      </c>
      <c r="P6" s="6">
        <f t="shared" si="0"/>
        <v>3.5195555555556601</v>
      </c>
      <c r="Q6" s="6">
        <f t="shared" si="0"/>
        <v>0.56200000000000006</v>
      </c>
      <c r="R6" s="7">
        <f t="shared" ref="R6:R12" si="1">_xlfn.RANK.EQ(S6,S$6:S$12,1)</f>
        <v>1</v>
      </c>
      <c r="S6">
        <f t="shared" ref="S6:S33" si="2">AVERAGE(T6:Y6)</f>
        <v>2.8333333333333335</v>
      </c>
      <c r="T6">
        <f t="shared" ref="T6:V12" si="3">(_xlfn.RANK.AVG(L6,L$6:L$12))</f>
        <v>2</v>
      </c>
      <c r="U6">
        <f t="shared" si="3"/>
        <v>2</v>
      </c>
      <c r="V6">
        <f t="shared" si="3"/>
        <v>1</v>
      </c>
      <c r="W6">
        <f t="shared" ref="W6:Y12" si="4">(_xlfn.RANK.AVG(O6,O$6:O$12,1))</f>
        <v>2</v>
      </c>
      <c r="X6">
        <f t="shared" si="4"/>
        <v>4</v>
      </c>
      <c r="Y6">
        <f t="shared" si="4"/>
        <v>6</v>
      </c>
    </row>
    <row r="7" spans="1:25">
      <c r="B7" t="s">
        <v>12</v>
      </c>
      <c r="C7" s="3">
        <v>45.721999999999099</v>
      </c>
      <c r="D7" s="3">
        <v>61.277999999999103</v>
      </c>
      <c r="E7" s="3">
        <v>38.453333333332999</v>
      </c>
      <c r="F7" s="3">
        <v>47.033999999999203</v>
      </c>
      <c r="G7" s="3">
        <v>4.2023333333334403</v>
      </c>
      <c r="H7" s="3">
        <v>0.43</v>
      </c>
      <c r="J7" s="4"/>
      <c r="K7" t="s">
        <v>25</v>
      </c>
      <c r="L7" s="6">
        <f t="shared" si="0"/>
        <v>45.721999999999099</v>
      </c>
      <c r="M7" s="6">
        <f t="shared" si="0"/>
        <v>61.277999999999103</v>
      </c>
      <c r="N7" s="6">
        <f t="shared" si="0"/>
        <v>38.453333333332999</v>
      </c>
      <c r="O7" s="6">
        <f t="shared" si="0"/>
        <v>47.033999999999203</v>
      </c>
      <c r="P7" s="6">
        <f t="shared" si="0"/>
        <v>4.2023333333334403</v>
      </c>
      <c r="Q7" s="6">
        <f t="shared" si="0"/>
        <v>0.43</v>
      </c>
      <c r="R7" s="7">
        <f t="shared" si="1"/>
        <v>3</v>
      </c>
      <c r="S7">
        <f t="shared" si="2"/>
        <v>3.5</v>
      </c>
      <c r="T7">
        <f t="shared" si="3"/>
        <v>3</v>
      </c>
      <c r="U7">
        <f t="shared" si="3"/>
        <v>5</v>
      </c>
      <c r="V7">
        <f t="shared" si="3"/>
        <v>2</v>
      </c>
      <c r="W7">
        <f t="shared" si="4"/>
        <v>4</v>
      </c>
      <c r="X7">
        <f t="shared" si="4"/>
        <v>5</v>
      </c>
      <c r="Y7">
        <f t="shared" si="4"/>
        <v>2</v>
      </c>
    </row>
    <row r="8" spans="1:25">
      <c r="B8" t="s">
        <v>15</v>
      </c>
      <c r="C8" s="3">
        <v>45.363999999999201</v>
      </c>
      <c r="D8" s="3">
        <v>61.681999999998702</v>
      </c>
      <c r="E8" s="3">
        <v>37.492888888888203</v>
      </c>
      <c r="F8" s="3">
        <v>48.327999999999001</v>
      </c>
      <c r="G8" s="3">
        <v>5.5155555555557001</v>
      </c>
      <c r="H8" s="3">
        <v>0.49399999999999999</v>
      </c>
      <c r="J8" s="4"/>
      <c r="K8" t="s">
        <v>26</v>
      </c>
      <c r="L8" s="6">
        <f t="shared" si="0"/>
        <v>45.363999999999201</v>
      </c>
      <c r="M8" s="6">
        <f t="shared" si="0"/>
        <v>61.681999999998702</v>
      </c>
      <c r="N8" s="6">
        <f t="shared" si="0"/>
        <v>37.492888888888203</v>
      </c>
      <c r="O8" s="6">
        <f t="shared" si="0"/>
        <v>48.327999999999001</v>
      </c>
      <c r="P8" s="6">
        <f t="shared" si="0"/>
        <v>5.5155555555557001</v>
      </c>
      <c r="Q8" s="6">
        <f t="shared" si="0"/>
        <v>0.49399999999999999</v>
      </c>
      <c r="R8" s="7">
        <f t="shared" si="1"/>
        <v>5</v>
      </c>
      <c r="S8">
        <f t="shared" si="2"/>
        <v>4.333333333333333</v>
      </c>
      <c r="T8">
        <f t="shared" si="3"/>
        <v>4</v>
      </c>
      <c r="U8">
        <f t="shared" si="3"/>
        <v>4</v>
      </c>
      <c r="V8">
        <f t="shared" si="3"/>
        <v>3</v>
      </c>
      <c r="W8">
        <f t="shared" si="4"/>
        <v>5</v>
      </c>
      <c r="X8">
        <f t="shared" si="4"/>
        <v>6</v>
      </c>
      <c r="Y8">
        <f t="shared" si="4"/>
        <v>4</v>
      </c>
    </row>
    <row r="9" spans="1:25">
      <c r="B9" t="s">
        <v>17</v>
      </c>
      <c r="C9" s="3">
        <v>45.271999999999302</v>
      </c>
      <c r="D9" s="3">
        <v>61.008000000000003</v>
      </c>
      <c r="E9" s="3">
        <v>37.152777777777501</v>
      </c>
      <c r="F9" s="3">
        <v>44.932000000000201</v>
      </c>
      <c r="G9" s="3">
        <v>2.2613333333333601</v>
      </c>
      <c r="H9" s="3">
        <v>0.432</v>
      </c>
      <c r="J9" s="4"/>
      <c r="K9" t="s">
        <v>27</v>
      </c>
      <c r="L9" s="6">
        <f t="shared" si="0"/>
        <v>45.271999999999302</v>
      </c>
      <c r="M9" s="6">
        <f t="shared" si="0"/>
        <v>61.008000000000003</v>
      </c>
      <c r="N9" s="6">
        <f t="shared" si="0"/>
        <v>37.152777777777501</v>
      </c>
      <c r="O9" s="6">
        <f t="shared" si="0"/>
        <v>44.932000000000201</v>
      </c>
      <c r="P9" s="8">
        <f t="shared" si="0"/>
        <v>2.2613333333333601</v>
      </c>
      <c r="Q9" s="6">
        <f t="shared" si="0"/>
        <v>0.432</v>
      </c>
      <c r="R9" s="7">
        <f t="shared" si="1"/>
        <v>4</v>
      </c>
      <c r="S9">
        <f t="shared" si="2"/>
        <v>3.8333333333333335</v>
      </c>
      <c r="T9">
        <f t="shared" si="3"/>
        <v>5</v>
      </c>
      <c r="U9">
        <f t="shared" si="3"/>
        <v>6</v>
      </c>
      <c r="V9">
        <f t="shared" si="3"/>
        <v>5</v>
      </c>
      <c r="W9">
        <f t="shared" si="4"/>
        <v>3</v>
      </c>
      <c r="X9">
        <f t="shared" si="4"/>
        <v>1</v>
      </c>
      <c r="Y9">
        <f t="shared" si="4"/>
        <v>3</v>
      </c>
    </row>
    <row r="10" spans="1:25">
      <c r="B10" t="s">
        <v>16</v>
      </c>
      <c r="C10" s="3">
        <v>44.475999999998997</v>
      </c>
      <c r="D10" s="3">
        <v>60.489999999999299</v>
      </c>
      <c r="E10" s="3">
        <v>36.029666666666202</v>
      </c>
      <c r="F10" s="3">
        <v>49.909999999998597</v>
      </c>
      <c r="G10" s="3">
        <v>3.2436666666667202</v>
      </c>
      <c r="H10" s="3">
        <v>0.40200000000000002</v>
      </c>
      <c r="J10" s="4"/>
      <c r="K10" t="s">
        <v>28</v>
      </c>
      <c r="L10" s="6">
        <f t="shared" si="0"/>
        <v>44.475999999998997</v>
      </c>
      <c r="M10" s="6">
        <f t="shared" si="0"/>
        <v>60.489999999999299</v>
      </c>
      <c r="N10" s="6">
        <f t="shared" si="0"/>
        <v>36.029666666666202</v>
      </c>
      <c r="O10" s="6">
        <f t="shared" si="0"/>
        <v>49.909999999998597</v>
      </c>
      <c r="P10" s="6">
        <f t="shared" si="0"/>
        <v>3.2436666666667202</v>
      </c>
      <c r="Q10" s="8">
        <f t="shared" si="0"/>
        <v>0.40200000000000002</v>
      </c>
      <c r="R10" s="7">
        <f t="shared" si="1"/>
        <v>6</v>
      </c>
      <c r="S10">
        <f t="shared" si="2"/>
        <v>4.833333333333333</v>
      </c>
      <c r="T10">
        <f t="shared" si="3"/>
        <v>7</v>
      </c>
      <c r="U10">
        <f t="shared" si="3"/>
        <v>7</v>
      </c>
      <c r="V10">
        <f t="shared" si="3"/>
        <v>6</v>
      </c>
      <c r="W10">
        <f t="shared" si="4"/>
        <v>6</v>
      </c>
      <c r="X10">
        <f t="shared" si="4"/>
        <v>2</v>
      </c>
      <c r="Y10">
        <f t="shared" si="4"/>
        <v>1</v>
      </c>
    </row>
    <row r="11" spans="1:25">
      <c r="B11" t="s">
        <v>13</v>
      </c>
      <c r="C11" s="3">
        <v>44.809999999999199</v>
      </c>
      <c r="D11" s="3">
        <v>62.2479999999982</v>
      </c>
      <c r="E11" s="3">
        <v>30.638666666664601</v>
      </c>
      <c r="F11" s="3">
        <v>56.531999999998597</v>
      </c>
      <c r="G11" s="3">
        <v>6.8496666666668702</v>
      </c>
      <c r="H11" s="3">
        <v>0.55800000000000005</v>
      </c>
      <c r="J11" s="4"/>
      <c r="K11" t="s">
        <v>29</v>
      </c>
      <c r="L11" s="6">
        <f t="shared" si="0"/>
        <v>44.809999999999199</v>
      </c>
      <c r="M11" s="6">
        <f t="shared" si="0"/>
        <v>62.2479999999982</v>
      </c>
      <c r="N11" s="6">
        <f t="shared" si="0"/>
        <v>30.638666666664601</v>
      </c>
      <c r="O11" s="6">
        <f t="shared" si="0"/>
        <v>56.531999999998597</v>
      </c>
      <c r="P11" s="6">
        <f t="shared" si="0"/>
        <v>6.8496666666668702</v>
      </c>
      <c r="Q11" s="6">
        <f t="shared" si="0"/>
        <v>0.55800000000000005</v>
      </c>
      <c r="R11" s="7">
        <f t="shared" si="1"/>
        <v>7</v>
      </c>
      <c r="S11">
        <f t="shared" si="2"/>
        <v>5.833333333333333</v>
      </c>
      <c r="T11">
        <f t="shared" si="3"/>
        <v>6</v>
      </c>
      <c r="U11">
        <f t="shared" si="3"/>
        <v>3</v>
      </c>
      <c r="V11">
        <f t="shared" si="3"/>
        <v>7</v>
      </c>
      <c r="W11">
        <f t="shared" si="4"/>
        <v>7</v>
      </c>
      <c r="X11">
        <f t="shared" si="4"/>
        <v>7</v>
      </c>
      <c r="Y11">
        <f t="shared" si="4"/>
        <v>5</v>
      </c>
    </row>
    <row r="12" spans="1:25">
      <c r="B12" t="s">
        <v>14</v>
      </c>
      <c r="C12" s="3">
        <v>47.237999999998799</v>
      </c>
      <c r="D12" s="3">
        <v>64.075999999999695</v>
      </c>
      <c r="E12" s="3">
        <v>37.158555555555303</v>
      </c>
      <c r="F12" s="3">
        <v>39.309999999999597</v>
      </c>
      <c r="G12" s="3">
        <v>3.3144444444445602</v>
      </c>
      <c r="H12" s="3">
        <v>0.74399999999999999</v>
      </c>
      <c r="K12" t="s">
        <v>30</v>
      </c>
      <c r="L12" s="8">
        <f t="shared" si="0"/>
        <v>47.237999999998799</v>
      </c>
      <c r="M12" s="8">
        <f t="shared" si="0"/>
        <v>64.075999999999695</v>
      </c>
      <c r="N12" s="6">
        <f t="shared" si="0"/>
        <v>37.158555555555303</v>
      </c>
      <c r="O12" s="8">
        <f t="shared" si="0"/>
        <v>39.309999999999597</v>
      </c>
      <c r="P12" s="6">
        <f t="shared" si="0"/>
        <v>3.3144444444445602</v>
      </c>
      <c r="Q12" s="6">
        <f t="shared" si="0"/>
        <v>0.74399999999999999</v>
      </c>
      <c r="R12" s="7">
        <f t="shared" si="1"/>
        <v>1</v>
      </c>
      <c r="S12">
        <f t="shared" si="2"/>
        <v>2.8333333333333335</v>
      </c>
      <c r="T12">
        <f t="shared" si="3"/>
        <v>1</v>
      </c>
      <c r="U12">
        <f t="shared" si="3"/>
        <v>1</v>
      </c>
      <c r="V12">
        <f t="shared" si="3"/>
        <v>4</v>
      </c>
      <c r="W12">
        <f t="shared" si="4"/>
        <v>1</v>
      </c>
      <c r="X12">
        <f t="shared" si="4"/>
        <v>3</v>
      </c>
      <c r="Y12">
        <f t="shared" si="4"/>
        <v>7</v>
      </c>
    </row>
    <row r="13" spans="1:25">
      <c r="A13" t="s">
        <v>46</v>
      </c>
      <c r="B13" t="s">
        <v>11</v>
      </c>
      <c r="C13" s="3">
        <v>48.1359999999992</v>
      </c>
      <c r="D13" s="3">
        <v>63.397999999999897</v>
      </c>
      <c r="E13" s="3">
        <v>40.501777777777399</v>
      </c>
      <c r="F13" s="3">
        <v>43.107999999999599</v>
      </c>
      <c r="G13" s="3">
        <v>2.9887777777778402</v>
      </c>
      <c r="H13" s="3">
        <v>0.40799999999999997</v>
      </c>
      <c r="J13">
        <v>0.2</v>
      </c>
      <c r="K13" t="s">
        <v>24</v>
      </c>
      <c r="L13" s="6">
        <f t="shared" si="0"/>
        <v>48.1359999999992</v>
      </c>
      <c r="M13" s="6">
        <f t="shared" si="0"/>
        <v>63.397999999999897</v>
      </c>
      <c r="N13" s="6">
        <f t="shared" si="0"/>
        <v>40.501777777777399</v>
      </c>
      <c r="O13" s="5">
        <f t="shared" si="0"/>
        <v>43.107999999999599</v>
      </c>
      <c r="P13" s="6">
        <f t="shared" si="0"/>
        <v>2.9887777777778402</v>
      </c>
      <c r="Q13" s="6">
        <f t="shared" si="0"/>
        <v>0.40799999999999997</v>
      </c>
      <c r="R13" s="7">
        <f t="shared" ref="R13:R19" si="5">_xlfn.RANK.EQ(S13,S$13:S$19,1)</f>
        <v>1</v>
      </c>
      <c r="S13">
        <f t="shared" si="2"/>
        <v>2.5</v>
      </c>
      <c r="T13">
        <f t="shared" ref="T13:V19" si="6">(_xlfn.RANK.AVG(L13,L$13:L$19))</f>
        <v>2</v>
      </c>
      <c r="U13">
        <f t="shared" si="6"/>
        <v>2</v>
      </c>
      <c r="V13">
        <f t="shared" si="6"/>
        <v>2</v>
      </c>
      <c r="W13">
        <f t="shared" ref="W13:Y19" si="7">(_xlfn.RANK.AVG(O13,O$13:O$19,1))</f>
        <v>2</v>
      </c>
      <c r="X13">
        <f t="shared" si="7"/>
        <v>3</v>
      </c>
      <c r="Y13">
        <f t="shared" si="7"/>
        <v>4</v>
      </c>
    </row>
    <row r="14" spans="1:25">
      <c r="B14" t="s">
        <v>12</v>
      </c>
      <c r="C14" s="3">
        <v>46.5079999999992</v>
      </c>
      <c r="D14" s="3">
        <v>61.291999999999298</v>
      </c>
      <c r="E14" s="3">
        <v>40.566222222222102</v>
      </c>
      <c r="F14" s="3">
        <v>45.9039999999994</v>
      </c>
      <c r="G14" s="3">
        <v>3.4104444444444999</v>
      </c>
      <c r="H14" s="3">
        <v>0.36</v>
      </c>
      <c r="K14" t="s">
        <v>25</v>
      </c>
      <c r="L14" s="6">
        <f t="shared" si="0"/>
        <v>46.5079999999992</v>
      </c>
      <c r="M14" s="6">
        <f t="shared" si="0"/>
        <v>61.291999999999298</v>
      </c>
      <c r="N14" s="8">
        <f t="shared" si="0"/>
        <v>40.566222222222102</v>
      </c>
      <c r="O14" s="5">
        <f t="shared" si="0"/>
        <v>45.9039999999994</v>
      </c>
      <c r="P14" s="6">
        <f t="shared" si="0"/>
        <v>3.4104444444444999</v>
      </c>
      <c r="Q14" s="8">
        <f t="shared" si="0"/>
        <v>0.36</v>
      </c>
      <c r="R14" s="7">
        <f t="shared" si="5"/>
        <v>3</v>
      </c>
      <c r="S14">
        <f t="shared" si="2"/>
        <v>3.1666666666666665</v>
      </c>
      <c r="T14">
        <f t="shared" si="6"/>
        <v>3</v>
      </c>
      <c r="U14">
        <f t="shared" si="6"/>
        <v>5</v>
      </c>
      <c r="V14">
        <f t="shared" si="6"/>
        <v>1</v>
      </c>
      <c r="W14">
        <f t="shared" si="7"/>
        <v>4</v>
      </c>
      <c r="X14">
        <f t="shared" si="7"/>
        <v>5</v>
      </c>
      <c r="Y14">
        <f t="shared" si="7"/>
        <v>1</v>
      </c>
    </row>
    <row r="15" spans="1:25">
      <c r="B15" t="s">
        <v>15</v>
      </c>
      <c r="C15" s="3">
        <v>46.463999999999103</v>
      </c>
      <c r="D15" s="3">
        <v>61.799999999998903</v>
      </c>
      <c r="E15" s="3">
        <v>39.7316666666663</v>
      </c>
      <c r="F15" s="3">
        <v>45.823999999999501</v>
      </c>
      <c r="G15" s="3">
        <v>4.3657777777778604</v>
      </c>
      <c r="H15" s="3">
        <v>0.44600000000000001</v>
      </c>
      <c r="K15" t="s">
        <v>26</v>
      </c>
      <c r="L15" s="6">
        <f t="shared" si="0"/>
        <v>46.463999999999103</v>
      </c>
      <c r="M15" s="6">
        <f t="shared" si="0"/>
        <v>61.799999999998903</v>
      </c>
      <c r="N15" s="6">
        <f t="shared" si="0"/>
        <v>39.7316666666663</v>
      </c>
      <c r="O15" s="6">
        <f t="shared" si="0"/>
        <v>45.823999999999501</v>
      </c>
      <c r="P15" s="6">
        <f t="shared" si="0"/>
        <v>4.3657777777778604</v>
      </c>
      <c r="Q15" s="6">
        <f t="shared" si="0"/>
        <v>0.44600000000000001</v>
      </c>
      <c r="R15" s="7">
        <f t="shared" si="5"/>
        <v>4</v>
      </c>
      <c r="S15">
        <f t="shared" si="2"/>
        <v>4.166666666666667</v>
      </c>
      <c r="T15">
        <f t="shared" si="6"/>
        <v>4</v>
      </c>
      <c r="U15">
        <f t="shared" si="6"/>
        <v>4</v>
      </c>
      <c r="V15">
        <f t="shared" si="6"/>
        <v>3</v>
      </c>
      <c r="W15">
        <f t="shared" si="7"/>
        <v>3</v>
      </c>
      <c r="X15">
        <f t="shared" si="7"/>
        <v>6</v>
      </c>
      <c r="Y15">
        <f t="shared" si="7"/>
        <v>5</v>
      </c>
    </row>
    <row r="16" spans="1:25">
      <c r="B16" t="s">
        <v>17</v>
      </c>
      <c r="C16" s="3">
        <v>45.621999999999296</v>
      </c>
      <c r="D16" s="3">
        <v>60.236000000000203</v>
      </c>
      <c r="E16" s="3">
        <v>38.630999999999801</v>
      </c>
      <c r="F16" s="3">
        <v>46.360000000000198</v>
      </c>
      <c r="G16" s="3">
        <v>1.76233333333334</v>
      </c>
      <c r="H16" s="3">
        <v>0.38200000000000001</v>
      </c>
      <c r="K16" t="s">
        <v>27</v>
      </c>
      <c r="L16" s="6">
        <f t="shared" si="0"/>
        <v>45.621999999999296</v>
      </c>
      <c r="M16" s="6">
        <f t="shared" si="0"/>
        <v>60.236000000000203</v>
      </c>
      <c r="N16" s="6">
        <f t="shared" si="0"/>
        <v>38.630999999999801</v>
      </c>
      <c r="O16" s="5">
        <f t="shared" si="0"/>
        <v>46.360000000000198</v>
      </c>
      <c r="P16" s="8">
        <f t="shared" si="0"/>
        <v>1.76233333333334</v>
      </c>
      <c r="Q16" s="6">
        <f t="shared" si="0"/>
        <v>0.38200000000000001</v>
      </c>
      <c r="R16" s="7">
        <f t="shared" si="5"/>
        <v>4</v>
      </c>
      <c r="S16">
        <f t="shared" si="2"/>
        <v>4.166666666666667</v>
      </c>
      <c r="T16">
        <f t="shared" si="6"/>
        <v>6</v>
      </c>
      <c r="U16">
        <f t="shared" si="6"/>
        <v>6</v>
      </c>
      <c r="V16">
        <f t="shared" si="6"/>
        <v>5</v>
      </c>
      <c r="W16">
        <f t="shared" si="7"/>
        <v>5</v>
      </c>
      <c r="X16">
        <f t="shared" si="7"/>
        <v>1</v>
      </c>
      <c r="Y16">
        <f t="shared" si="7"/>
        <v>2</v>
      </c>
    </row>
    <row r="17" spans="1:25">
      <c r="B17" t="s">
        <v>16</v>
      </c>
      <c r="C17" s="3">
        <v>45.125999999999202</v>
      </c>
      <c r="D17" s="3">
        <v>59.989999999999597</v>
      </c>
      <c r="E17" s="3">
        <v>37.941888888888499</v>
      </c>
      <c r="F17" s="3">
        <v>48.331999999998999</v>
      </c>
      <c r="G17" s="3">
        <v>2.5346666666666899</v>
      </c>
      <c r="H17" s="3">
        <v>0.40600000000000003</v>
      </c>
      <c r="K17" t="s">
        <v>28</v>
      </c>
      <c r="L17" s="6">
        <f t="shared" si="0"/>
        <v>45.125999999999202</v>
      </c>
      <c r="M17" s="6">
        <f t="shared" si="0"/>
        <v>59.989999999999597</v>
      </c>
      <c r="N17" s="6">
        <f t="shared" si="0"/>
        <v>37.941888888888499</v>
      </c>
      <c r="O17" s="5">
        <f t="shared" si="0"/>
        <v>48.331999999998999</v>
      </c>
      <c r="P17" s="6">
        <f t="shared" si="0"/>
        <v>2.5346666666666899</v>
      </c>
      <c r="Q17" s="6">
        <f t="shared" si="0"/>
        <v>0.40600000000000003</v>
      </c>
      <c r="R17" s="7">
        <f t="shared" si="5"/>
        <v>6</v>
      </c>
      <c r="S17">
        <f t="shared" si="2"/>
        <v>5.166666666666667</v>
      </c>
      <c r="T17">
        <f t="shared" si="6"/>
        <v>7</v>
      </c>
      <c r="U17">
        <f t="shared" si="6"/>
        <v>7</v>
      </c>
      <c r="V17">
        <f t="shared" si="6"/>
        <v>6</v>
      </c>
      <c r="W17">
        <f t="shared" si="7"/>
        <v>6</v>
      </c>
      <c r="X17">
        <f t="shared" si="7"/>
        <v>2</v>
      </c>
      <c r="Y17">
        <f t="shared" si="7"/>
        <v>3</v>
      </c>
    </row>
    <row r="18" spans="1:25">
      <c r="B18" t="s">
        <v>13</v>
      </c>
      <c r="C18" s="3">
        <v>45.641999999999101</v>
      </c>
      <c r="D18" s="3">
        <v>62.077999999998397</v>
      </c>
      <c r="E18" s="3">
        <v>30.521222222220299</v>
      </c>
      <c r="F18" s="3">
        <v>55.853999999998898</v>
      </c>
      <c r="G18" s="3">
        <v>6.9010000000002201</v>
      </c>
      <c r="H18" s="3">
        <v>0.53800000000000003</v>
      </c>
      <c r="K18" t="s">
        <v>29</v>
      </c>
      <c r="L18" s="6">
        <f t="shared" si="0"/>
        <v>45.641999999999101</v>
      </c>
      <c r="M18" s="6">
        <f t="shared" si="0"/>
        <v>62.077999999998397</v>
      </c>
      <c r="N18" s="6">
        <f t="shared" si="0"/>
        <v>30.521222222220299</v>
      </c>
      <c r="O18" s="5">
        <f t="shared" si="0"/>
        <v>55.853999999998898</v>
      </c>
      <c r="P18" s="6">
        <f t="shared" si="0"/>
        <v>6.9010000000002201</v>
      </c>
      <c r="Q18" s="6">
        <f t="shared" si="0"/>
        <v>0.53800000000000003</v>
      </c>
      <c r="R18" s="7">
        <f t="shared" si="5"/>
        <v>7</v>
      </c>
      <c r="S18">
        <f t="shared" si="2"/>
        <v>5.833333333333333</v>
      </c>
      <c r="T18">
        <f t="shared" si="6"/>
        <v>5</v>
      </c>
      <c r="U18">
        <f t="shared" si="6"/>
        <v>3</v>
      </c>
      <c r="V18">
        <f t="shared" si="6"/>
        <v>7</v>
      </c>
      <c r="W18">
        <f t="shared" si="7"/>
        <v>7</v>
      </c>
      <c r="X18">
        <f t="shared" si="7"/>
        <v>7</v>
      </c>
      <c r="Y18">
        <f t="shared" si="7"/>
        <v>6</v>
      </c>
    </row>
    <row r="19" spans="1:25">
      <c r="B19" t="s">
        <v>14</v>
      </c>
      <c r="C19" s="3">
        <v>48.847999999998798</v>
      </c>
      <c r="D19" s="3">
        <v>64.83</v>
      </c>
      <c r="E19" s="3">
        <v>38.730444444444402</v>
      </c>
      <c r="F19" s="3">
        <v>37.481999999999601</v>
      </c>
      <c r="G19" s="3">
        <v>3.1225555555556599</v>
      </c>
      <c r="H19" s="3">
        <v>0.66400000000000003</v>
      </c>
      <c r="K19" t="s">
        <v>30</v>
      </c>
      <c r="L19" s="8">
        <f t="shared" si="0"/>
        <v>48.847999999998798</v>
      </c>
      <c r="M19" s="8">
        <f t="shared" si="0"/>
        <v>64.83</v>
      </c>
      <c r="N19" s="6">
        <f t="shared" si="0"/>
        <v>38.730444444444402</v>
      </c>
      <c r="O19" s="8">
        <f t="shared" si="0"/>
        <v>37.481999999999601</v>
      </c>
      <c r="P19" s="6">
        <f t="shared" si="0"/>
        <v>3.1225555555556599</v>
      </c>
      <c r="Q19" s="6">
        <f t="shared" si="0"/>
        <v>0.66400000000000003</v>
      </c>
      <c r="R19" s="7">
        <f t="shared" si="5"/>
        <v>2</v>
      </c>
      <c r="S19">
        <f t="shared" si="2"/>
        <v>3</v>
      </c>
      <c r="T19">
        <f t="shared" si="6"/>
        <v>1</v>
      </c>
      <c r="U19">
        <f t="shared" si="6"/>
        <v>1</v>
      </c>
      <c r="V19">
        <f t="shared" si="6"/>
        <v>4</v>
      </c>
      <c r="W19">
        <f t="shared" si="7"/>
        <v>1</v>
      </c>
      <c r="X19">
        <f t="shared" si="7"/>
        <v>4</v>
      </c>
      <c r="Y19">
        <f t="shared" si="7"/>
        <v>7</v>
      </c>
    </row>
    <row r="20" spans="1:25">
      <c r="A20" t="s">
        <v>48</v>
      </c>
      <c r="B20" t="s">
        <v>11</v>
      </c>
      <c r="C20" s="3">
        <v>49.875999999999401</v>
      </c>
      <c r="D20" s="3">
        <v>64.150000000000006</v>
      </c>
      <c r="E20" s="3">
        <v>42.949111111111201</v>
      </c>
      <c r="F20" s="3">
        <v>42.549999999999599</v>
      </c>
      <c r="G20" s="3">
        <v>2.3524444444444601</v>
      </c>
      <c r="H20" s="3">
        <v>0.38400000000000001</v>
      </c>
      <c r="J20">
        <v>0.3</v>
      </c>
      <c r="K20" t="s">
        <v>24</v>
      </c>
      <c r="L20" s="6">
        <f t="shared" si="0"/>
        <v>49.875999999999401</v>
      </c>
      <c r="M20" s="6">
        <f t="shared" si="0"/>
        <v>64.150000000000006</v>
      </c>
      <c r="N20" s="8">
        <f t="shared" si="0"/>
        <v>42.949111111111201</v>
      </c>
      <c r="O20" s="5">
        <f t="shared" si="0"/>
        <v>42.549999999999599</v>
      </c>
      <c r="P20" s="6">
        <f t="shared" si="0"/>
        <v>2.3524444444444601</v>
      </c>
      <c r="Q20" s="6">
        <f t="shared" si="0"/>
        <v>0.38400000000000001</v>
      </c>
      <c r="R20" s="7">
        <f t="shared" ref="R20:R26" si="8">_xlfn.RANK.EQ(S20,S$20:S$26,1)</f>
        <v>1</v>
      </c>
      <c r="S20">
        <f t="shared" si="2"/>
        <v>2.6666666666666665</v>
      </c>
      <c r="T20">
        <f t="shared" ref="T20:V26" si="9">(_xlfn.RANK.AVG(L20,L$20:L$26))</f>
        <v>2</v>
      </c>
      <c r="U20">
        <f t="shared" si="9"/>
        <v>2</v>
      </c>
      <c r="V20">
        <f t="shared" si="9"/>
        <v>1</v>
      </c>
      <c r="W20">
        <f t="shared" ref="W20:Y26" si="10">(_xlfn.RANK.AVG(O20,O$20:O$26,1))</f>
        <v>2</v>
      </c>
      <c r="X20">
        <f t="shared" si="10"/>
        <v>4</v>
      </c>
      <c r="Y20">
        <f t="shared" si="10"/>
        <v>5</v>
      </c>
    </row>
    <row r="21" spans="1:25">
      <c r="B21" t="s">
        <v>12</v>
      </c>
      <c r="C21" s="3">
        <v>47.259999999999302</v>
      </c>
      <c r="D21" s="3">
        <v>61.531999999999698</v>
      </c>
      <c r="E21" s="3">
        <v>42.487555555555701</v>
      </c>
      <c r="F21" s="3">
        <v>45.879999999999399</v>
      </c>
      <c r="G21" s="3">
        <v>2.2607777777778</v>
      </c>
      <c r="H21" s="3">
        <v>0.27600000000000002</v>
      </c>
      <c r="K21" t="s">
        <v>25</v>
      </c>
      <c r="L21" s="6">
        <f t="shared" si="0"/>
        <v>47.259999999999302</v>
      </c>
      <c r="M21" s="6">
        <f t="shared" si="0"/>
        <v>61.531999999999698</v>
      </c>
      <c r="N21" s="6">
        <f t="shared" si="0"/>
        <v>42.487555555555701</v>
      </c>
      <c r="O21" s="5">
        <f t="shared" si="0"/>
        <v>45.879999999999399</v>
      </c>
      <c r="P21" s="6">
        <f t="shared" si="0"/>
        <v>2.2607777777778</v>
      </c>
      <c r="Q21" s="6">
        <f t="shared" si="0"/>
        <v>0.27600000000000002</v>
      </c>
      <c r="R21" s="7">
        <f t="shared" si="8"/>
        <v>4</v>
      </c>
      <c r="S21">
        <f t="shared" si="2"/>
        <v>3.5</v>
      </c>
      <c r="T21">
        <f t="shared" si="9"/>
        <v>4</v>
      </c>
      <c r="U21">
        <f t="shared" si="9"/>
        <v>4</v>
      </c>
      <c r="V21">
        <f t="shared" si="9"/>
        <v>3</v>
      </c>
      <c r="W21">
        <f t="shared" si="10"/>
        <v>4</v>
      </c>
      <c r="X21">
        <f t="shared" si="10"/>
        <v>3</v>
      </c>
      <c r="Y21">
        <f t="shared" si="10"/>
        <v>3</v>
      </c>
    </row>
    <row r="22" spans="1:25">
      <c r="B22" t="s">
        <v>15</v>
      </c>
      <c r="C22" s="3">
        <v>48.575999999999397</v>
      </c>
      <c r="D22" s="3">
        <v>62.821999999999697</v>
      </c>
      <c r="E22" s="3">
        <v>42.833666666666801</v>
      </c>
      <c r="F22" s="3">
        <v>43.953999999999802</v>
      </c>
      <c r="G22" s="3">
        <v>2.7512222222222502</v>
      </c>
      <c r="H22" s="3">
        <v>0.30599999999999999</v>
      </c>
      <c r="K22" t="s">
        <v>26</v>
      </c>
      <c r="L22" s="6">
        <f t="shared" ref="L22:Q33" si="11">C22</f>
        <v>48.575999999999397</v>
      </c>
      <c r="M22" s="6">
        <f t="shared" si="11"/>
        <v>62.821999999999697</v>
      </c>
      <c r="N22" s="6">
        <f t="shared" si="11"/>
        <v>42.833666666666801</v>
      </c>
      <c r="O22" s="6">
        <f t="shared" si="11"/>
        <v>43.953999999999802</v>
      </c>
      <c r="P22" s="6">
        <f t="shared" si="11"/>
        <v>2.7512222222222502</v>
      </c>
      <c r="Q22" s="6">
        <f t="shared" si="11"/>
        <v>0.30599999999999999</v>
      </c>
      <c r="R22" s="7">
        <f t="shared" si="8"/>
        <v>2</v>
      </c>
      <c r="S22">
        <f t="shared" si="2"/>
        <v>3.3333333333333335</v>
      </c>
      <c r="T22">
        <f t="shared" si="9"/>
        <v>3</v>
      </c>
      <c r="U22">
        <f t="shared" si="9"/>
        <v>3</v>
      </c>
      <c r="V22">
        <f t="shared" si="9"/>
        <v>2</v>
      </c>
      <c r="W22">
        <f t="shared" si="10"/>
        <v>3</v>
      </c>
      <c r="X22">
        <f t="shared" si="10"/>
        <v>5</v>
      </c>
      <c r="Y22">
        <f t="shared" si="10"/>
        <v>4</v>
      </c>
    </row>
    <row r="23" spans="1:25">
      <c r="B23" t="s">
        <v>17</v>
      </c>
      <c r="C23" s="3">
        <v>43.831999999999802</v>
      </c>
      <c r="D23" s="3">
        <v>56.878000000000696</v>
      </c>
      <c r="E23" s="3">
        <v>38.814111111111302</v>
      </c>
      <c r="F23" s="3">
        <v>50.468000000000004</v>
      </c>
      <c r="G23" s="3">
        <v>1.0248888888888901</v>
      </c>
      <c r="H23" s="3">
        <v>0.2</v>
      </c>
      <c r="K23" t="s">
        <v>27</v>
      </c>
      <c r="L23" s="6">
        <f t="shared" si="11"/>
        <v>43.831999999999802</v>
      </c>
      <c r="M23" s="6">
        <f t="shared" si="11"/>
        <v>56.878000000000696</v>
      </c>
      <c r="N23" s="6">
        <f t="shared" si="11"/>
        <v>38.814111111111302</v>
      </c>
      <c r="O23" s="5">
        <f t="shared" si="11"/>
        <v>50.468000000000004</v>
      </c>
      <c r="P23" s="8">
        <f t="shared" si="11"/>
        <v>1.0248888888888901</v>
      </c>
      <c r="Q23" s="8">
        <f t="shared" si="11"/>
        <v>0.2</v>
      </c>
      <c r="R23" s="7">
        <f t="shared" si="8"/>
        <v>6</v>
      </c>
      <c r="S23">
        <f t="shared" si="2"/>
        <v>4.666666666666667</v>
      </c>
      <c r="T23">
        <f t="shared" si="9"/>
        <v>7</v>
      </c>
      <c r="U23">
        <f t="shared" si="9"/>
        <v>7</v>
      </c>
      <c r="V23">
        <f t="shared" si="9"/>
        <v>6</v>
      </c>
      <c r="W23">
        <f t="shared" si="10"/>
        <v>6</v>
      </c>
      <c r="X23">
        <f t="shared" si="10"/>
        <v>1</v>
      </c>
      <c r="Y23">
        <f t="shared" si="10"/>
        <v>1</v>
      </c>
    </row>
    <row r="24" spans="1:25">
      <c r="B24" t="s">
        <v>16</v>
      </c>
      <c r="C24" s="3">
        <v>46.197999999999702</v>
      </c>
      <c r="D24" s="3">
        <v>59.970000000000297</v>
      </c>
      <c r="E24" s="3">
        <v>40.064444444444398</v>
      </c>
      <c r="F24" s="3">
        <v>47.893999999999302</v>
      </c>
      <c r="G24" s="3">
        <v>1.54355555555556</v>
      </c>
      <c r="H24" s="3">
        <v>0.26</v>
      </c>
      <c r="K24" t="s">
        <v>28</v>
      </c>
      <c r="L24" s="6">
        <f t="shared" si="11"/>
        <v>46.197999999999702</v>
      </c>
      <c r="M24" s="6">
        <f t="shared" si="11"/>
        <v>59.970000000000297</v>
      </c>
      <c r="N24" s="6">
        <f t="shared" si="11"/>
        <v>40.064444444444398</v>
      </c>
      <c r="O24" s="5">
        <f t="shared" si="11"/>
        <v>47.893999999999302</v>
      </c>
      <c r="P24" s="6">
        <f t="shared" si="11"/>
        <v>1.54355555555556</v>
      </c>
      <c r="Q24" s="6">
        <f t="shared" si="11"/>
        <v>0.26</v>
      </c>
      <c r="R24" s="7">
        <f t="shared" si="8"/>
        <v>5</v>
      </c>
      <c r="S24">
        <f t="shared" si="2"/>
        <v>4.166666666666667</v>
      </c>
      <c r="T24">
        <f t="shared" si="9"/>
        <v>5</v>
      </c>
      <c r="U24">
        <f t="shared" si="9"/>
        <v>6</v>
      </c>
      <c r="V24">
        <f t="shared" si="9"/>
        <v>5</v>
      </c>
      <c r="W24">
        <f t="shared" si="10"/>
        <v>5</v>
      </c>
      <c r="X24">
        <f t="shared" si="10"/>
        <v>2</v>
      </c>
      <c r="Y24">
        <f t="shared" si="10"/>
        <v>2</v>
      </c>
    </row>
    <row r="25" spans="1:25">
      <c r="B25" t="s">
        <v>13</v>
      </c>
      <c r="C25" s="3">
        <v>45.579999999999202</v>
      </c>
      <c r="D25" s="3">
        <v>61.453999999998402</v>
      </c>
      <c r="E25" s="3">
        <v>30.708888888887</v>
      </c>
      <c r="F25" s="3">
        <v>55.493999999998998</v>
      </c>
      <c r="G25" s="3">
        <v>6.6203333333335399</v>
      </c>
      <c r="H25" s="3">
        <v>0.47799999999999998</v>
      </c>
      <c r="K25" t="s">
        <v>29</v>
      </c>
      <c r="L25" s="6">
        <f t="shared" si="11"/>
        <v>45.579999999999202</v>
      </c>
      <c r="M25" s="6">
        <f t="shared" si="11"/>
        <v>61.453999999998402</v>
      </c>
      <c r="N25" s="6">
        <f t="shared" si="11"/>
        <v>30.708888888887</v>
      </c>
      <c r="O25" s="5">
        <f t="shared" si="11"/>
        <v>55.493999999998998</v>
      </c>
      <c r="P25" s="6">
        <f t="shared" si="11"/>
        <v>6.6203333333335399</v>
      </c>
      <c r="Q25" s="6">
        <f t="shared" si="11"/>
        <v>0.47799999999999998</v>
      </c>
      <c r="R25" s="7">
        <f t="shared" si="8"/>
        <v>7</v>
      </c>
      <c r="S25">
        <f t="shared" si="2"/>
        <v>6.333333333333333</v>
      </c>
      <c r="T25">
        <f t="shared" si="9"/>
        <v>6</v>
      </c>
      <c r="U25">
        <f t="shared" si="9"/>
        <v>5</v>
      </c>
      <c r="V25">
        <f t="shared" si="9"/>
        <v>7</v>
      </c>
      <c r="W25">
        <f t="shared" si="10"/>
        <v>7</v>
      </c>
      <c r="X25">
        <f t="shared" si="10"/>
        <v>7</v>
      </c>
      <c r="Y25">
        <f t="shared" si="10"/>
        <v>6</v>
      </c>
    </row>
    <row r="26" spans="1:25">
      <c r="B26" t="s">
        <v>14</v>
      </c>
      <c r="C26" s="3">
        <v>50.115999999998699</v>
      </c>
      <c r="D26" s="3">
        <v>65.802000000000007</v>
      </c>
      <c r="E26" s="3">
        <v>40.6345555555557</v>
      </c>
      <c r="F26" s="3">
        <v>36.143999999999998</v>
      </c>
      <c r="G26" s="3">
        <v>2.83722222222231</v>
      </c>
      <c r="H26" s="3">
        <v>0.65</v>
      </c>
      <c r="K26" t="s">
        <v>30</v>
      </c>
      <c r="L26" s="8">
        <f t="shared" si="11"/>
        <v>50.115999999998699</v>
      </c>
      <c r="M26" s="8">
        <f t="shared" si="11"/>
        <v>65.802000000000007</v>
      </c>
      <c r="N26" s="6">
        <f t="shared" si="11"/>
        <v>40.6345555555557</v>
      </c>
      <c r="O26" s="8">
        <f t="shared" si="11"/>
        <v>36.143999999999998</v>
      </c>
      <c r="P26" s="6">
        <f t="shared" si="11"/>
        <v>2.83722222222231</v>
      </c>
      <c r="Q26" s="6">
        <f t="shared" si="11"/>
        <v>0.65</v>
      </c>
      <c r="R26" s="7">
        <f t="shared" si="8"/>
        <v>2</v>
      </c>
      <c r="S26">
        <f t="shared" si="2"/>
        <v>3.3333333333333335</v>
      </c>
      <c r="T26">
        <f t="shared" si="9"/>
        <v>1</v>
      </c>
      <c r="U26">
        <f t="shared" si="9"/>
        <v>1</v>
      </c>
      <c r="V26">
        <f t="shared" si="9"/>
        <v>4</v>
      </c>
      <c r="W26">
        <f t="shared" si="10"/>
        <v>1</v>
      </c>
      <c r="X26">
        <f t="shared" si="10"/>
        <v>6</v>
      </c>
      <c r="Y26">
        <f t="shared" si="10"/>
        <v>7</v>
      </c>
    </row>
    <row r="27" spans="1:25">
      <c r="A27" t="s">
        <v>49</v>
      </c>
      <c r="B27" t="s">
        <v>11</v>
      </c>
      <c r="C27" s="3">
        <v>51.199999999999797</v>
      </c>
      <c r="D27" s="3">
        <v>64.522000000000503</v>
      </c>
      <c r="E27" s="3">
        <v>44.920555555556398</v>
      </c>
      <c r="F27" s="3">
        <v>42.609999999999502</v>
      </c>
      <c r="G27" s="3">
        <v>1.5644444444444501</v>
      </c>
      <c r="H27" s="3">
        <v>0.27400000000000002</v>
      </c>
      <c r="J27">
        <v>0.4</v>
      </c>
      <c r="K27" t="s">
        <v>24</v>
      </c>
      <c r="L27" s="6">
        <f t="shared" si="11"/>
        <v>51.199999999999797</v>
      </c>
      <c r="M27" s="6">
        <f t="shared" si="11"/>
        <v>64.522000000000503</v>
      </c>
      <c r="N27" s="6">
        <f t="shared" si="11"/>
        <v>44.920555555556398</v>
      </c>
      <c r="O27" s="5">
        <f t="shared" si="11"/>
        <v>42.609999999999502</v>
      </c>
      <c r="P27" s="5">
        <f t="shared" si="11"/>
        <v>1.5644444444444501</v>
      </c>
      <c r="Q27" s="6">
        <f t="shared" si="11"/>
        <v>0.27400000000000002</v>
      </c>
      <c r="R27" s="7">
        <f t="shared" ref="R27:R33" si="12">_xlfn.RANK.EQ(S27,S$27:S$33,1)</f>
        <v>2</v>
      </c>
      <c r="S27">
        <f t="shared" si="2"/>
        <v>3</v>
      </c>
      <c r="T27">
        <f t="shared" ref="T27:V33" si="13">(_xlfn.RANK.AVG(L27,L$27:L$33))</f>
        <v>2</v>
      </c>
      <c r="U27">
        <f t="shared" si="13"/>
        <v>2</v>
      </c>
      <c r="V27">
        <f t="shared" si="13"/>
        <v>2</v>
      </c>
      <c r="W27">
        <f t="shared" ref="W27:Y33" si="14">(_xlfn.RANK.AVG(O27,O$27:O$33,1))</f>
        <v>2</v>
      </c>
      <c r="X27">
        <f t="shared" si="14"/>
        <v>5</v>
      </c>
      <c r="Y27">
        <f t="shared" si="14"/>
        <v>5</v>
      </c>
    </row>
    <row r="28" spans="1:25">
      <c r="B28" t="s">
        <v>12</v>
      </c>
      <c r="C28" s="3">
        <v>48.937999999999697</v>
      </c>
      <c r="D28" s="3">
        <v>62.332000000000299</v>
      </c>
      <c r="E28" s="3">
        <v>44.276444444445303</v>
      </c>
      <c r="F28" s="3">
        <v>45.949999999999299</v>
      </c>
      <c r="G28" s="3">
        <v>1.2661111111111101</v>
      </c>
      <c r="H28" s="3">
        <v>0.186</v>
      </c>
      <c r="K28" t="s">
        <v>25</v>
      </c>
      <c r="L28" s="6">
        <f t="shared" si="11"/>
        <v>48.937999999999697</v>
      </c>
      <c r="M28" s="6">
        <f t="shared" si="11"/>
        <v>62.332000000000299</v>
      </c>
      <c r="N28" s="6">
        <f t="shared" si="11"/>
        <v>44.276444444445303</v>
      </c>
      <c r="O28" s="5">
        <f t="shared" si="11"/>
        <v>45.949999999999299</v>
      </c>
      <c r="P28" s="5">
        <f t="shared" si="11"/>
        <v>1.2661111111111101</v>
      </c>
      <c r="Q28" s="6">
        <f t="shared" si="11"/>
        <v>0.186</v>
      </c>
      <c r="R28" s="7">
        <f t="shared" si="12"/>
        <v>4</v>
      </c>
      <c r="S28">
        <f t="shared" si="2"/>
        <v>3.6666666666666665</v>
      </c>
      <c r="T28">
        <f t="shared" si="13"/>
        <v>4</v>
      </c>
      <c r="U28">
        <f t="shared" si="13"/>
        <v>4</v>
      </c>
      <c r="V28">
        <f t="shared" si="13"/>
        <v>3</v>
      </c>
      <c r="W28">
        <f t="shared" si="14"/>
        <v>4</v>
      </c>
      <c r="X28">
        <f t="shared" si="14"/>
        <v>3</v>
      </c>
      <c r="Y28">
        <f t="shared" si="14"/>
        <v>4</v>
      </c>
    </row>
    <row r="29" spans="1:25">
      <c r="B29" t="s">
        <v>15</v>
      </c>
      <c r="C29" s="3">
        <v>50.019999999999897</v>
      </c>
      <c r="D29" s="3">
        <v>63.5540000000003</v>
      </c>
      <c r="E29" s="3">
        <v>44.9383333333341</v>
      </c>
      <c r="F29" s="3">
        <v>43.707999999999402</v>
      </c>
      <c r="G29" s="3">
        <v>1.55277777777778</v>
      </c>
      <c r="H29" s="3">
        <v>0.184</v>
      </c>
      <c r="K29" t="s">
        <v>26</v>
      </c>
      <c r="L29" s="6">
        <f t="shared" si="11"/>
        <v>50.019999999999897</v>
      </c>
      <c r="M29" s="6">
        <f t="shared" si="11"/>
        <v>63.5540000000003</v>
      </c>
      <c r="N29" s="8">
        <f t="shared" si="11"/>
        <v>44.9383333333341</v>
      </c>
      <c r="O29" s="6">
        <f t="shared" si="11"/>
        <v>43.707999999999402</v>
      </c>
      <c r="P29" s="6">
        <f t="shared" si="11"/>
        <v>1.55277777777778</v>
      </c>
      <c r="Q29" s="6">
        <f t="shared" si="11"/>
        <v>0.184</v>
      </c>
      <c r="R29" s="7">
        <f t="shared" si="12"/>
        <v>1</v>
      </c>
      <c r="S29">
        <f t="shared" si="2"/>
        <v>2.8333333333333335</v>
      </c>
      <c r="T29">
        <f t="shared" si="13"/>
        <v>3</v>
      </c>
      <c r="U29">
        <f t="shared" si="13"/>
        <v>3</v>
      </c>
      <c r="V29">
        <f t="shared" si="13"/>
        <v>1</v>
      </c>
      <c r="W29">
        <f t="shared" si="14"/>
        <v>3</v>
      </c>
      <c r="X29">
        <f t="shared" si="14"/>
        <v>4</v>
      </c>
      <c r="Y29">
        <f t="shared" si="14"/>
        <v>3</v>
      </c>
    </row>
    <row r="30" spans="1:25">
      <c r="B30" t="s">
        <v>17</v>
      </c>
      <c r="C30" s="3">
        <v>44.758000000000202</v>
      </c>
      <c r="D30" s="3">
        <v>56.838000000001102</v>
      </c>
      <c r="E30" s="3">
        <v>40.1633333333344</v>
      </c>
      <c r="F30" s="3">
        <v>51.120000000000303</v>
      </c>
      <c r="G30" s="3">
        <v>0.58333333333333004</v>
      </c>
      <c r="H30" s="3">
        <v>0.124</v>
      </c>
      <c r="K30" t="s">
        <v>27</v>
      </c>
      <c r="L30" s="6">
        <f t="shared" si="11"/>
        <v>44.758000000000202</v>
      </c>
      <c r="M30" s="6">
        <f t="shared" si="11"/>
        <v>56.838000000001102</v>
      </c>
      <c r="N30" s="6">
        <f t="shared" si="11"/>
        <v>40.1633333333344</v>
      </c>
      <c r="O30" s="5">
        <f t="shared" si="11"/>
        <v>51.120000000000303</v>
      </c>
      <c r="P30" s="8">
        <f t="shared" si="11"/>
        <v>0.58333333333333004</v>
      </c>
      <c r="Q30" s="8">
        <f t="shared" si="11"/>
        <v>0.124</v>
      </c>
      <c r="R30" s="7">
        <f t="shared" si="12"/>
        <v>6</v>
      </c>
      <c r="S30">
        <f t="shared" si="2"/>
        <v>4.666666666666667</v>
      </c>
      <c r="T30">
        <f t="shared" si="13"/>
        <v>7</v>
      </c>
      <c r="U30">
        <f t="shared" si="13"/>
        <v>7</v>
      </c>
      <c r="V30">
        <f t="shared" si="13"/>
        <v>6</v>
      </c>
      <c r="W30">
        <f t="shared" si="14"/>
        <v>6</v>
      </c>
      <c r="X30">
        <f t="shared" si="14"/>
        <v>1</v>
      </c>
      <c r="Y30">
        <f t="shared" si="14"/>
        <v>1</v>
      </c>
    </row>
    <row r="31" spans="1:25">
      <c r="B31" t="s">
        <v>16</v>
      </c>
      <c r="C31" s="3">
        <v>47.850000000000101</v>
      </c>
      <c r="D31" s="3">
        <v>60.680000000001002</v>
      </c>
      <c r="E31" s="3">
        <v>42.006888888889897</v>
      </c>
      <c r="F31" s="3">
        <v>47.861999999999497</v>
      </c>
      <c r="G31" s="3">
        <v>0.79077777777777603</v>
      </c>
      <c r="H31" s="3">
        <v>0.17599999999999999</v>
      </c>
      <c r="K31" t="s">
        <v>28</v>
      </c>
      <c r="L31" s="6">
        <f t="shared" si="11"/>
        <v>47.850000000000101</v>
      </c>
      <c r="M31" s="6">
        <f t="shared" si="11"/>
        <v>60.680000000001002</v>
      </c>
      <c r="N31" s="6">
        <f t="shared" si="11"/>
        <v>42.006888888889897</v>
      </c>
      <c r="O31" s="5">
        <f t="shared" si="11"/>
        <v>47.861999999999497</v>
      </c>
      <c r="P31" s="5">
        <f t="shared" si="11"/>
        <v>0.79077777777777603</v>
      </c>
      <c r="Q31" s="6">
        <f t="shared" si="11"/>
        <v>0.17599999999999999</v>
      </c>
      <c r="R31" s="7">
        <f t="shared" si="12"/>
        <v>5</v>
      </c>
      <c r="S31">
        <f t="shared" si="2"/>
        <v>4.166666666666667</v>
      </c>
      <c r="T31">
        <f t="shared" si="13"/>
        <v>5</v>
      </c>
      <c r="U31">
        <f t="shared" si="13"/>
        <v>6</v>
      </c>
      <c r="V31">
        <f t="shared" si="13"/>
        <v>5</v>
      </c>
      <c r="W31">
        <f t="shared" si="14"/>
        <v>5</v>
      </c>
      <c r="X31">
        <f t="shared" si="14"/>
        <v>2</v>
      </c>
      <c r="Y31">
        <f t="shared" si="14"/>
        <v>2</v>
      </c>
    </row>
    <row r="32" spans="1:25">
      <c r="B32" t="s">
        <v>13</v>
      </c>
      <c r="C32" s="3">
        <v>46.597999999999097</v>
      </c>
      <c r="D32" s="3">
        <v>62.1579999999988</v>
      </c>
      <c r="E32" s="3">
        <v>30.914999999997999</v>
      </c>
      <c r="F32" s="3">
        <v>54.777999999999103</v>
      </c>
      <c r="G32" s="3">
        <v>6.5364444444446601</v>
      </c>
      <c r="H32" s="3">
        <v>0.34200000000000003</v>
      </c>
      <c r="K32" t="s">
        <v>29</v>
      </c>
      <c r="L32" s="6">
        <f t="shared" si="11"/>
        <v>46.597999999999097</v>
      </c>
      <c r="M32" s="6">
        <f t="shared" si="11"/>
        <v>62.1579999999988</v>
      </c>
      <c r="N32" s="6">
        <f t="shared" si="11"/>
        <v>30.914999999997999</v>
      </c>
      <c r="O32" s="5">
        <f t="shared" si="11"/>
        <v>54.777999999999103</v>
      </c>
      <c r="P32" s="5">
        <f t="shared" si="11"/>
        <v>6.5364444444446601</v>
      </c>
      <c r="Q32" s="6">
        <f t="shared" si="11"/>
        <v>0.34200000000000003</v>
      </c>
      <c r="R32" s="7">
        <f t="shared" si="12"/>
        <v>7</v>
      </c>
      <c r="S32">
        <f t="shared" si="2"/>
        <v>6.333333333333333</v>
      </c>
      <c r="T32">
        <f t="shared" si="13"/>
        <v>6</v>
      </c>
      <c r="U32">
        <f t="shared" si="13"/>
        <v>5</v>
      </c>
      <c r="V32">
        <f t="shared" si="13"/>
        <v>7</v>
      </c>
      <c r="W32">
        <f t="shared" si="14"/>
        <v>7</v>
      </c>
      <c r="X32">
        <f t="shared" si="14"/>
        <v>7</v>
      </c>
      <c r="Y32">
        <f t="shared" si="14"/>
        <v>6</v>
      </c>
    </row>
    <row r="33" spans="1:25">
      <c r="B33" t="s">
        <v>14</v>
      </c>
      <c r="C33" s="3">
        <v>51.791999999998701</v>
      </c>
      <c r="D33" s="3">
        <v>67.234000000000407</v>
      </c>
      <c r="E33" s="3">
        <v>42.282444444444998</v>
      </c>
      <c r="F33" s="3">
        <v>34.76</v>
      </c>
      <c r="G33" s="3">
        <v>2.5492222222222898</v>
      </c>
      <c r="H33" s="3">
        <v>0.56399999999999995</v>
      </c>
      <c r="K33" t="s">
        <v>30</v>
      </c>
      <c r="L33" s="8">
        <f t="shared" si="11"/>
        <v>51.791999999998701</v>
      </c>
      <c r="M33" s="8">
        <f t="shared" si="11"/>
        <v>67.234000000000407</v>
      </c>
      <c r="N33" s="6">
        <f t="shared" si="11"/>
        <v>42.282444444444998</v>
      </c>
      <c r="O33" s="8">
        <f t="shared" si="11"/>
        <v>34.76</v>
      </c>
      <c r="P33" s="5">
        <f t="shared" si="11"/>
        <v>2.5492222222222898</v>
      </c>
      <c r="Q33" s="6">
        <f t="shared" si="11"/>
        <v>0.56399999999999995</v>
      </c>
      <c r="R33" s="7">
        <f t="shared" si="12"/>
        <v>3</v>
      </c>
      <c r="S33">
        <f t="shared" si="2"/>
        <v>3.3333333333333335</v>
      </c>
      <c r="T33">
        <f t="shared" si="13"/>
        <v>1</v>
      </c>
      <c r="U33">
        <f t="shared" si="13"/>
        <v>1</v>
      </c>
      <c r="V33">
        <f t="shared" si="13"/>
        <v>4</v>
      </c>
      <c r="W33">
        <f t="shared" si="14"/>
        <v>1</v>
      </c>
      <c r="X33">
        <f t="shared" si="14"/>
        <v>6</v>
      </c>
      <c r="Y33">
        <f t="shared" si="14"/>
        <v>7</v>
      </c>
    </row>
    <row r="34" spans="1:25">
      <c r="A34" t="s">
        <v>18</v>
      </c>
      <c r="C34" s="3">
        <v>1318.2899999999809</v>
      </c>
      <c r="D34" s="3">
        <v>1737.1999999999919</v>
      </c>
      <c r="E34" s="3">
        <v>1090.0965555555492</v>
      </c>
      <c r="F34" s="3">
        <v>1295.8199999999854</v>
      </c>
      <c r="G34" s="3">
        <v>88.225666666668602</v>
      </c>
      <c r="H34" s="3">
        <v>11.23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2BB6A-256C-4F50-9FF6-B87408ABB472}">
  <sheetPr codeName="Sheet1"/>
  <dimension ref="A1:Y34"/>
  <sheetViews>
    <sheetView topLeftCell="J5" workbookViewId="0">
      <selection activeCell="L5" sqref="L5"/>
    </sheetView>
  </sheetViews>
  <sheetFormatPr defaultRowHeight="14.75"/>
  <cols>
    <col min="1" max="1" width="10.58984375" bestFit="1" customWidth="1"/>
    <col min="2" max="2" width="8.40625" bestFit="1" customWidth="1"/>
    <col min="3" max="4" width="12.04296875" bestFit="1" customWidth="1"/>
    <col min="5" max="5" width="12.31640625" bestFit="1" customWidth="1"/>
    <col min="6" max="6" width="13.04296875" bestFit="1" customWidth="1"/>
    <col min="7" max="7" width="14.81640625" bestFit="1" customWidth="1"/>
    <col min="8" max="9" width="11.90625" bestFit="1" customWidth="1"/>
    <col min="10" max="52" width="14.81640625" bestFit="1" customWidth="1"/>
    <col min="53" max="53" width="14.81640625" customWidth="1"/>
    <col min="54" max="74" width="14.81640625" bestFit="1" customWidth="1"/>
    <col min="75" max="76" width="16.86328125" bestFit="1" customWidth="1"/>
    <col min="77" max="77" width="17.1328125" bestFit="1" customWidth="1"/>
    <col min="78" max="78" width="17.81640625" bestFit="1" customWidth="1"/>
    <col min="79" max="79" width="19.58984375" bestFit="1" customWidth="1"/>
    <col min="80" max="80" width="16.6796875" bestFit="1" customWidth="1"/>
  </cols>
  <sheetData>
    <row r="1" spans="1:25">
      <c r="A1" s="1" t="s">
        <v>2</v>
      </c>
      <c r="B1" s="2">
        <v>1</v>
      </c>
    </row>
    <row r="2" spans="1:25">
      <c r="A2" s="1" t="s">
        <v>1</v>
      </c>
      <c r="B2" s="2">
        <v>2</v>
      </c>
    </row>
    <row r="3" spans="1:25">
      <c r="A3" s="1" t="s">
        <v>0</v>
      </c>
      <c r="B3" s="2">
        <v>18</v>
      </c>
    </row>
    <row r="5" spans="1:25">
      <c r="A5" s="1" t="s">
        <v>43</v>
      </c>
      <c r="B5" s="1" t="s">
        <v>10</v>
      </c>
      <c r="C5" t="s">
        <v>19</v>
      </c>
      <c r="D5" t="s">
        <v>20</v>
      </c>
      <c r="E5" t="s">
        <v>21</v>
      </c>
      <c r="F5" t="s">
        <v>22</v>
      </c>
      <c r="G5" t="s">
        <v>23</v>
      </c>
      <c r="H5" t="s">
        <v>37</v>
      </c>
      <c r="J5" t="s">
        <v>50</v>
      </c>
      <c r="K5" t="s">
        <v>31</v>
      </c>
      <c r="L5" t="s">
        <v>32</v>
      </c>
      <c r="M5" t="s">
        <v>33</v>
      </c>
      <c r="N5" t="s">
        <v>34</v>
      </c>
      <c r="O5" t="s">
        <v>35</v>
      </c>
      <c r="P5" t="s">
        <v>38</v>
      </c>
      <c r="Q5" t="s">
        <v>39</v>
      </c>
      <c r="R5" t="s">
        <v>40</v>
      </c>
    </row>
    <row r="6" spans="1:25">
      <c r="A6" t="s">
        <v>44</v>
      </c>
      <c r="B6" t="s">
        <v>11</v>
      </c>
      <c r="C6" s="3">
        <v>44.995999999999299</v>
      </c>
      <c r="D6" s="3">
        <v>61.146000000000498</v>
      </c>
      <c r="E6" s="3">
        <v>38.012555555555203</v>
      </c>
      <c r="F6" s="3">
        <v>47.505999999999197</v>
      </c>
      <c r="G6" s="3">
        <v>3.8640000000000998</v>
      </c>
      <c r="H6" s="3">
        <v>1.31</v>
      </c>
      <c r="J6" s="7">
        <v>0.1</v>
      </c>
      <c r="K6" t="s">
        <v>24</v>
      </c>
      <c r="L6" s="6">
        <f t="shared" ref="L6:Q12" si="0">C6</f>
        <v>44.995999999999299</v>
      </c>
      <c r="M6" s="6">
        <f t="shared" si="0"/>
        <v>61.146000000000498</v>
      </c>
      <c r="N6" s="8">
        <f t="shared" si="0"/>
        <v>38.012555555555203</v>
      </c>
      <c r="O6" s="6">
        <f t="shared" si="0"/>
        <v>47.505999999999197</v>
      </c>
      <c r="P6" s="6">
        <f t="shared" si="0"/>
        <v>3.8640000000000998</v>
      </c>
      <c r="Q6" s="8">
        <f t="shared" si="0"/>
        <v>1.31</v>
      </c>
      <c r="R6" s="7">
        <f t="shared" ref="R6:R12" si="1">_xlfn.RANK.EQ(S6,S$6:S$12,1)</f>
        <v>1</v>
      </c>
      <c r="S6">
        <f t="shared" ref="S6:S33" si="2">AVERAGE(T6:Y6)</f>
        <v>2.8333333333333335</v>
      </c>
      <c r="T6">
        <f t="shared" ref="T6:V12" si="3">(_xlfn.RANK.AVG(L6,L$6:L$12))</f>
        <v>3</v>
      </c>
      <c r="U6">
        <f t="shared" si="3"/>
        <v>5</v>
      </c>
      <c r="V6">
        <f t="shared" si="3"/>
        <v>1</v>
      </c>
      <c r="W6">
        <f t="shared" ref="W6:Y12" si="4">(_xlfn.RANK.AVG(O6,O$6:O$12,1))</f>
        <v>4</v>
      </c>
      <c r="X6">
        <f t="shared" si="4"/>
        <v>3</v>
      </c>
      <c r="Y6">
        <f t="shared" si="4"/>
        <v>1</v>
      </c>
    </row>
    <row r="7" spans="1:25">
      <c r="B7" t="s">
        <v>12</v>
      </c>
      <c r="C7" s="3">
        <v>44.645999999999603</v>
      </c>
      <c r="D7" s="3">
        <v>61.454000000000001</v>
      </c>
      <c r="E7" s="3">
        <v>37.683333333332897</v>
      </c>
      <c r="F7" s="3">
        <v>47.297999999999199</v>
      </c>
      <c r="G7" s="3">
        <v>4.41477777777789</v>
      </c>
      <c r="H7" s="3">
        <v>1.3540000000000001</v>
      </c>
      <c r="J7" s="4"/>
      <c r="K7" t="s">
        <v>25</v>
      </c>
      <c r="L7" s="6">
        <f t="shared" si="0"/>
        <v>44.645999999999603</v>
      </c>
      <c r="M7" s="6">
        <f t="shared" si="0"/>
        <v>61.454000000000001</v>
      </c>
      <c r="N7" s="6">
        <f t="shared" si="0"/>
        <v>37.683333333332897</v>
      </c>
      <c r="O7" s="6">
        <f t="shared" si="0"/>
        <v>47.297999999999199</v>
      </c>
      <c r="P7" s="6">
        <f t="shared" si="0"/>
        <v>4.41477777777789</v>
      </c>
      <c r="Q7" s="6">
        <f t="shared" si="0"/>
        <v>1.3540000000000001</v>
      </c>
      <c r="R7" s="7">
        <f t="shared" si="1"/>
        <v>3</v>
      </c>
      <c r="S7">
        <f t="shared" si="2"/>
        <v>3.8333333333333335</v>
      </c>
      <c r="T7">
        <f t="shared" si="3"/>
        <v>5</v>
      </c>
      <c r="U7">
        <f t="shared" si="3"/>
        <v>4</v>
      </c>
      <c r="V7">
        <f t="shared" si="3"/>
        <v>2</v>
      </c>
      <c r="W7">
        <f t="shared" si="4"/>
        <v>3</v>
      </c>
      <c r="X7">
        <f t="shared" si="4"/>
        <v>5</v>
      </c>
      <c r="Y7">
        <f t="shared" si="4"/>
        <v>4</v>
      </c>
    </row>
    <row r="8" spans="1:25">
      <c r="B8" t="s">
        <v>15</v>
      </c>
      <c r="C8" s="3">
        <v>44.703999999999702</v>
      </c>
      <c r="D8" s="3">
        <v>62.035999999999603</v>
      </c>
      <c r="E8" s="3">
        <v>37.240999999999197</v>
      </c>
      <c r="F8" s="3">
        <v>47.879999999999001</v>
      </c>
      <c r="G8" s="3">
        <v>5.8896666666668303</v>
      </c>
      <c r="H8" s="3">
        <v>1.3660000000000001</v>
      </c>
      <c r="J8" s="4"/>
      <c r="K8" t="s">
        <v>26</v>
      </c>
      <c r="L8" s="6">
        <f t="shared" si="0"/>
        <v>44.703999999999702</v>
      </c>
      <c r="M8" s="6">
        <f t="shared" si="0"/>
        <v>62.035999999999603</v>
      </c>
      <c r="N8" s="6">
        <f t="shared" si="0"/>
        <v>37.240999999999197</v>
      </c>
      <c r="O8" s="6">
        <f t="shared" si="0"/>
        <v>47.879999999999001</v>
      </c>
      <c r="P8" s="6">
        <f t="shared" si="0"/>
        <v>5.8896666666668303</v>
      </c>
      <c r="Q8" s="6">
        <f t="shared" si="0"/>
        <v>1.3660000000000001</v>
      </c>
      <c r="R8" s="7">
        <f t="shared" si="1"/>
        <v>5</v>
      </c>
      <c r="S8">
        <f t="shared" si="2"/>
        <v>4.333333333333333</v>
      </c>
      <c r="T8">
        <f t="shared" si="3"/>
        <v>4</v>
      </c>
      <c r="U8">
        <f t="shared" si="3"/>
        <v>3</v>
      </c>
      <c r="V8">
        <f t="shared" si="3"/>
        <v>3</v>
      </c>
      <c r="W8">
        <f t="shared" si="4"/>
        <v>5</v>
      </c>
      <c r="X8">
        <f t="shared" si="4"/>
        <v>6</v>
      </c>
      <c r="Y8">
        <f t="shared" si="4"/>
        <v>5</v>
      </c>
    </row>
    <row r="9" spans="1:25">
      <c r="B9" t="s">
        <v>17</v>
      </c>
      <c r="C9" s="3">
        <v>44.485999999999201</v>
      </c>
      <c r="D9" s="3">
        <v>59.830000000000901</v>
      </c>
      <c r="E9" s="3">
        <v>36.172111111110802</v>
      </c>
      <c r="F9" s="3">
        <v>46.058</v>
      </c>
      <c r="G9" s="3">
        <v>2.33422222222225</v>
      </c>
      <c r="H9" s="3">
        <v>1.3140000000000001</v>
      </c>
      <c r="J9" s="4"/>
      <c r="K9" t="s">
        <v>27</v>
      </c>
      <c r="L9" s="6">
        <f t="shared" si="0"/>
        <v>44.485999999999201</v>
      </c>
      <c r="M9" s="6">
        <f t="shared" si="0"/>
        <v>59.830000000000901</v>
      </c>
      <c r="N9" s="6">
        <f t="shared" si="0"/>
        <v>36.172111111110802</v>
      </c>
      <c r="O9" s="6">
        <f t="shared" si="0"/>
        <v>46.058</v>
      </c>
      <c r="P9" s="8">
        <f t="shared" si="0"/>
        <v>2.33422222222225</v>
      </c>
      <c r="Q9" s="8">
        <f t="shared" si="0"/>
        <v>1.3140000000000001</v>
      </c>
      <c r="R9" s="7">
        <f t="shared" si="1"/>
        <v>4</v>
      </c>
      <c r="S9">
        <f t="shared" si="2"/>
        <v>4.166666666666667</v>
      </c>
      <c r="T9">
        <f t="shared" si="3"/>
        <v>6</v>
      </c>
      <c r="U9">
        <f t="shared" si="3"/>
        <v>7</v>
      </c>
      <c r="V9">
        <f t="shared" si="3"/>
        <v>6</v>
      </c>
      <c r="W9">
        <f t="shared" si="4"/>
        <v>2</v>
      </c>
      <c r="X9">
        <f t="shared" si="4"/>
        <v>1</v>
      </c>
      <c r="Y9">
        <f t="shared" si="4"/>
        <v>3</v>
      </c>
    </row>
    <row r="10" spans="1:25">
      <c r="B10" t="s">
        <v>16</v>
      </c>
      <c r="C10" s="3">
        <v>44.171999999999699</v>
      </c>
      <c r="D10" s="3">
        <v>60.800000000000097</v>
      </c>
      <c r="E10" s="3">
        <v>36.208888888888303</v>
      </c>
      <c r="F10" s="3">
        <v>49.099999999998801</v>
      </c>
      <c r="G10" s="3">
        <v>3.4475555555556099</v>
      </c>
      <c r="H10" s="3">
        <v>1.3120000000000001</v>
      </c>
      <c r="J10" s="4"/>
      <c r="K10" t="s">
        <v>28</v>
      </c>
      <c r="L10" s="6">
        <f t="shared" si="0"/>
        <v>44.171999999999699</v>
      </c>
      <c r="M10" s="6">
        <f t="shared" si="0"/>
        <v>60.800000000000097</v>
      </c>
      <c r="N10" s="6">
        <f t="shared" si="0"/>
        <v>36.208888888888303</v>
      </c>
      <c r="O10" s="6">
        <f t="shared" si="0"/>
        <v>49.099999999998801</v>
      </c>
      <c r="P10" s="6">
        <f t="shared" si="0"/>
        <v>3.4475555555556099</v>
      </c>
      <c r="Q10" s="8">
        <f t="shared" si="0"/>
        <v>1.3120000000000001</v>
      </c>
      <c r="R10" s="7">
        <f t="shared" si="1"/>
        <v>6</v>
      </c>
      <c r="S10">
        <f t="shared" si="2"/>
        <v>4.666666666666667</v>
      </c>
      <c r="T10">
        <f t="shared" si="3"/>
        <v>7</v>
      </c>
      <c r="U10">
        <f t="shared" si="3"/>
        <v>6</v>
      </c>
      <c r="V10">
        <f t="shared" si="3"/>
        <v>5</v>
      </c>
      <c r="W10">
        <f t="shared" si="4"/>
        <v>6</v>
      </c>
      <c r="X10">
        <f t="shared" si="4"/>
        <v>2</v>
      </c>
      <c r="Y10">
        <f t="shared" si="4"/>
        <v>2</v>
      </c>
    </row>
    <row r="11" spans="1:25">
      <c r="B11" t="s">
        <v>13</v>
      </c>
      <c r="C11" s="3">
        <v>45.089999999999598</v>
      </c>
      <c r="D11" s="3">
        <v>64.139999999999404</v>
      </c>
      <c r="E11" s="3">
        <v>32.363333333331198</v>
      </c>
      <c r="F11" s="3">
        <v>53.665999999998903</v>
      </c>
      <c r="G11" s="3">
        <v>6.9157777777779801</v>
      </c>
      <c r="H11" s="3">
        <v>1.462</v>
      </c>
      <c r="J11" s="4"/>
      <c r="K11" t="s">
        <v>29</v>
      </c>
      <c r="L11" s="6">
        <f t="shared" si="0"/>
        <v>45.089999999999598</v>
      </c>
      <c r="M11" s="6">
        <f t="shared" si="0"/>
        <v>64.139999999999404</v>
      </c>
      <c r="N11" s="6">
        <f t="shared" si="0"/>
        <v>32.363333333331198</v>
      </c>
      <c r="O11" s="6">
        <f t="shared" si="0"/>
        <v>53.665999999998903</v>
      </c>
      <c r="P11" s="6">
        <f t="shared" si="0"/>
        <v>6.9157777777779801</v>
      </c>
      <c r="Q11" s="6">
        <f t="shared" si="0"/>
        <v>1.462</v>
      </c>
      <c r="R11" s="7">
        <f t="shared" si="1"/>
        <v>7</v>
      </c>
      <c r="S11">
        <f t="shared" si="2"/>
        <v>5.166666666666667</v>
      </c>
      <c r="T11">
        <f t="shared" si="3"/>
        <v>2</v>
      </c>
      <c r="U11">
        <f t="shared" si="3"/>
        <v>2</v>
      </c>
      <c r="V11">
        <f t="shared" si="3"/>
        <v>7</v>
      </c>
      <c r="W11">
        <f t="shared" si="4"/>
        <v>7</v>
      </c>
      <c r="X11">
        <f t="shared" si="4"/>
        <v>7</v>
      </c>
      <c r="Y11">
        <f t="shared" si="4"/>
        <v>6</v>
      </c>
    </row>
    <row r="12" spans="1:25">
      <c r="B12" t="s">
        <v>14</v>
      </c>
      <c r="C12" s="3">
        <v>47.045999999999196</v>
      </c>
      <c r="D12" s="3">
        <v>66.094000000000406</v>
      </c>
      <c r="E12" s="3">
        <v>36.509555555554897</v>
      </c>
      <c r="F12" s="3">
        <v>37.522000000000098</v>
      </c>
      <c r="G12" s="3">
        <v>4.3690000000001703</v>
      </c>
      <c r="H12" s="3">
        <v>2.0939999999999901</v>
      </c>
      <c r="K12" t="s">
        <v>30</v>
      </c>
      <c r="L12" s="8">
        <f t="shared" si="0"/>
        <v>47.045999999999196</v>
      </c>
      <c r="M12" s="8">
        <f t="shared" si="0"/>
        <v>66.094000000000406</v>
      </c>
      <c r="N12" s="6">
        <f t="shared" si="0"/>
        <v>36.509555555554897</v>
      </c>
      <c r="O12" s="8">
        <f t="shared" si="0"/>
        <v>37.522000000000098</v>
      </c>
      <c r="P12" s="6">
        <f t="shared" si="0"/>
        <v>4.3690000000001703</v>
      </c>
      <c r="Q12" s="6">
        <f t="shared" si="0"/>
        <v>2.0939999999999901</v>
      </c>
      <c r="R12" s="7">
        <f t="shared" si="1"/>
        <v>2</v>
      </c>
      <c r="S12">
        <f t="shared" si="2"/>
        <v>3</v>
      </c>
      <c r="T12">
        <f t="shared" si="3"/>
        <v>1</v>
      </c>
      <c r="U12">
        <f t="shared" si="3"/>
        <v>1</v>
      </c>
      <c r="V12">
        <f t="shared" si="3"/>
        <v>4</v>
      </c>
      <c r="W12">
        <f t="shared" si="4"/>
        <v>1</v>
      </c>
      <c r="X12">
        <f t="shared" si="4"/>
        <v>4</v>
      </c>
      <c r="Y12">
        <f t="shared" si="4"/>
        <v>7</v>
      </c>
    </row>
    <row r="13" spans="1:25">
      <c r="A13" t="s">
        <v>46</v>
      </c>
      <c r="B13" t="s">
        <v>11</v>
      </c>
      <c r="C13" s="3">
        <v>46.037999999999101</v>
      </c>
      <c r="D13" s="3">
        <v>61.294000000000501</v>
      </c>
      <c r="E13" s="3">
        <v>39.383555555555297</v>
      </c>
      <c r="F13" s="3">
        <v>47.289999999999502</v>
      </c>
      <c r="G13" s="3">
        <v>3.16666666666673</v>
      </c>
      <c r="H13" s="3">
        <v>1.054</v>
      </c>
      <c r="J13">
        <v>0.2</v>
      </c>
      <c r="K13" t="s">
        <v>24</v>
      </c>
      <c r="L13" s="6">
        <f t="shared" ref="L13:L19" si="5">C13</f>
        <v>46.037999999999101</v>
      </c>
      <c r="M13" s="6">
        <f t="shared" ref="M13:M19" si="6">D13</f>
        <v>61.294000000000501</v>
      </c>
      <c r="N13" s="8">
        <f t="shared" ref="N13:N19" si="7">E13</f>
        <v>39.383555555555297</v>
      </c>
      <c r="O13" s="6">
        <f t="shared" ref="O13:O19" si="8">F13</f>
        <v>47.289999999999502</v>
      </c>
      <c r="P13" s="6">
        <f t="shared" ref="P13:P19" si="9">G13</f>
        <v>3.16666666666673</v>
      </c>
      <c r="Q13" s="6">
        <f t="shared" ref="Q13:Q19" si="10">H13</f>
        <v>1.054</v>
      </c>
      <c r="R13" s="7">
        <f t="shared" ref="R13:R19" si="11">_xlfn.RANK.EQ(S13,S$13:S$19,1)</f>
        <v>1</v>
      </c>
      <c r="S13">
        <f t="shared" si="2"/>
        <v>3</v>
      </c>
      <c r="T13">
        <f t="shared" ref="T13:V19" si="12">(_xlfn.RANK.AVG(L13,L$13:L$19))</f>
        <v>3</v>
      </c>
      <c r="U13">
        <f t="shared" si="12"/>
        <v>5</v>
      </c>
      <c r="V13">
        <f t="shared" si="12"/>
        <v>1</v>
      </c>
      <c r="W13">
        <f t="shared" ref="W13:Y19" si="13">(_xlfn.RANK.AVG(O13,O$13:O$19,1))</f>
        <v>4</v>
      </c>
      <c r="X13">
        <f t="shared" si="13"/>
        <v>3</v>
      </c>
      <c r="Y13">
        <f t="shared" si="13"/>
        <v>2</v>
      </c>
    </row>
    <row r="14" spans="1:25">
      <c r="B14" t="s">
        <v>12</v>
      </c>
      <c r="C14" s="3">
        <v>45.801999999999403</v>
      </c>
      <c r="D14" s="3">
        <v>61.800000000000097</v>
      </c>
      <c r="E14" s="3">
        <v>39.336111111110903</v>
      </c>
      <c r="F14" s="3">
        <v>46.931999999999199</v>
      </c>
      <c r="G14" s="3">
        <v>3.3865555555556202</v>
      </c>
      <c r="H14" s="3">
        <v>1.0920000000000001</v>
      </c>
      <c r="K14" t="s">
        <v>25</v>
      </c>
      <c r="L14" s="6">
        <f t="shared" si="5"/>
        <v>45.801999999999403</v>
      </c>
      <c r="M14" s="6">
        <f t="shared" si="6"/>
        <v>61.800000000000097</v>
      </c>
      <c r="N14" s="6">
        <f t="shared" si="7"/>
        <v>39.336111111110903</v>
      </c>
      <c r="O14" s="6">
        <f t="shared" si="8"/>
        <v>46.931999999999199</v>
      </c>
      <c r="P14" s="6">
        <f t="shared" si="9"/>
        <v>3.3865555555556202</v>
      </c>
      <c r="Q14" s="6">
        <f t="shared" si="10"/>
        <v>1.0920000000000001</v>
      </c>
      <c r="R14" s="7">
        <f t="shared" si="11"/>
        <v>3</v>
      </c>
      <c r="S14">
        <f t="shared" si="2"/>
        <v>3.5</v>
      </c>
      <c r="T14">
        <f t="shared" si="12"/>
        <v>5</v>
      </c>
      <c r="U14">
        <f t="shared" si="12"/>
        <v>4</v>
      </c>
      <c r="V14">
        <f t="shared" si="12"/>
        <v>2</v>
      </c>
      <c r="W14">
        <f t="shared" si="13"/>
        <v>3</v>
      </c>
      <c r="X14">
        <f t="shared" si="13"/>
        <v>4</v>
      </c>
      <c r="Y14">
        <f t="shared" si="13"/>
        <v>3</v>
      </c>
    </row>
    <row r="15" spans="1:25">
      <c r="B15" t="s">
        <v>15</v>
      </c>
      <c r="C15" s="3">
        <v>45.841999999999402</v>
      </c>
      <c r="D15" s="3">
        <v>62.937999999999697</v>
      </c>
      <c r="E15" s="3">
        <v>38.781666666666403</v>
      </c>
      <c r="F15" s="3">
        <v>46.617999999999299</v>
      </c>
      <c r="G15" s="3">
        <v>4.4823333333334201</v>
      </c>
      <c r="H15" s="3">
        <v>1.21</v>
      </c>
      <c r="K15" t="s">
        <v>26</v>
      </c>
      <c r="L15" s="6">
        <f t="shared" si="5"/>
        <v>45.841999999999402</v>
      </c>
      <c r="M15" s="6">
        <f t="shared" si="6"/>
        <v>62.937999999999697</v>
      </c>
      <c r="N15" s="6">
        <f t="shared" si="7"/>
        <v>38.781666666666403</v>
      </c>
      <c r="O15" s="6">
        <f t="shared" si="8"/>
        <v>46.617999999999299</v>
      </c>
      <c r="P15" s="6">
        <f t="shared" si="9"/>
        <v>4.4823333333334201</v>
      </c>
      <c r="Q15" s="6">
        <f t="shared" si="10"/>
        <v>1.21</v>
      </c>
      <c r="R15" s="7">
        <f t="shared" si="11"/>
        <v>4</v>
      </c>
      <c r="S15">
        <f t="shared" si="2"/>
        <v>3.8333333333333335</v>
      </c>
      <c r="T15">
        <f t="shared" si="12"/>
        <v>4</v>
      </c>
      <c r="U15">
        <f t="shared" si="12"/>
        <v>3</v>
      </c>
      <c r="V15">
        <f t="shared" si="12"/>
        <v>3</v>
      </c>
      <c r="W15">
        <f t="shared" si="13"/>
        <v>2</v>
      </c>
      <c r="X15">
        <f t="shared" si="13"/>
        <v>6</v>
      </c>
      <c r="Y15">
        <f t="shared" si="13"/>
        <v>5</v>
      </c>
    </row>
    <row r="16" spans="1:25">
      <c r="B16" t="s">
        <v>17</v>
      </c>
      <c r="C16" s="3">
        <v>44.825999999998999</v>
      </c>
      <c r="D16" s="3">
        <v>58.8940000000011</v>
      </c>
      <c r="E16" s="3">
        <v>37.330888888888701</v>
      </c>
      <c r="F16" s="3">
        <v>48.086000000000098</v>
      </c>
      <c r="G16" s="3">
        <v>1.77922222222224</v>
      </c>
      <c r="H16" s="3">
        <v>1.03</v>
      </c>
      <c r="K16" t="s">
        <v>27</v>
      </c>
      <c r="L16" s="6">
        <f t="shared" si="5"/>
        <v>44.825999999998999</v>
      </c>
      <c r="M16" s="6">
        <f t="shared" si="6"/>
        <v>58.8940000000011</v>
      </c>
      <c r="N16" s="6">
        <f t="shared" si="7"/>
        <v>37.330888888888701</v>
      </c>
      <c r="O16" s="6">
        <f t="shared" si="8"/>
        <v>48.086000000000098</v>
      </c>
      <c r="P16" s="8">
        <f t="shared" si="9"/>
        <v>1.77922222222224</v>
      </c>
      <c r="Q16" s="8">
        <f t="shared" si="10"/>
        <v>1.03</v>
      </c>
      <c r="R16" s="7">
        <f t="shared" si="11"/>
        <v>5</v>
      </c>
      <c r="S16">
        <f t="shared" si="2"/>
        <v>4.333333333333333</v>
      </c>
      <c r="T16">
        <f t="shared" si="12"/>
        <v>7</v>
      </c>
      <c r="U16">
        <f t="shared" si="12"/>
        <v>7</v>
      </c>
      <c r="V16">
        <f t="shared" si="12"/>
        <v>5</v>
      </c>
      <c r="W16">
        <f t="shared" si="13"/>
        <v>5</v>
      </c>
      <c r="X16">
        <f t="shared" si="13"/>
        <v>1</v>
      </c>
      <c r="Y16">
        <f t="shared" si="13"/>
        <v>1</v>
      </c>
    </row>
    <row r="17" spans="1:25">
      <c r="B17" t="s">
        <v>16</v>
      </c>
      <c r="C17" s="3">
        <v>44.959999999999503</v>
      </c>
      <c r="D17" s="3">
        <v>60.698000000000199</v>
      </c>
      <c r="E17" s="3">
        <v>37.281444444443999</v>
      </c>
      <c r="F17" s="3">
        <v>48.793999999998903</v>
      </c>
      <c r="G17" s="3">
        <v>2.5522222222222499</v>
      </c>
      <c r="H17" s="3">
        <v>1.1180000000000001</v>
      </c>
      <c r="K17" t="s">
        <v>28</v>
      </c>
      <c r="L17" s="6">
        <f t="shared" si="5"/>
        <v>44.959999999999503</v>
      </c>
      <c r="M17" s="6">
        <f t="shared" si="6"/>
        <v>60.698000000000199</v>
      </c>
      <c r="N17" s="6">
        <f t="shared" si="7"/>
        <v>37.281444444443999</v>
      </c>
      <c r="O17" s="6">
        <f t="shared" si="8"/>
        <v>48.793999999998903</v>
      </c>
      <c r="P17" s="6">
        <f t="shared" si="9"/>
        <v>2.5522222222222499</v>
      </c>
      <c r="Q17" s="6">
        <f t="shared" si="10"/>
        <v>1.1180000000000001</v>
      </c>
      <c r="R17" s="7">
        <f t="shared" si="11"/>
        <v>6</v>
      </c>
      <c r="S17">
        <f t="shared" si="2"/>
        <v>5</v>
      </c>
      <c r="T17">
        <f t="shared" si="12"/>
        <v>6</v>
      </c>
      <c r="U17">
        <f t="shared" si="12"/>
        <v>6</v>
      </c>
      <c r="V17">
        <f t="shared" si="12"/>
        <v>6</v>
      </c>
      <c r="W17">
        <f t="shared" si="13"/>
        <v>6</v>
      </c>
      <c r="X17">
        <f t="shared" si="13"/>
        <v>2</v>
      </c>
      <c r="Y17">
        <f t="shared" si="13"/>
        <v>4</v>
      </c>
    </row>
    <row r="18" spans="1:25">
      <c r="B18" t="s">
        <v>13</v>
      </c>
      <c r="C18" s="3">
        <v>46.061999999999401</v>
      </c>
      <c r="D18" s="3">
        <v>65.215999999999497</v>
      </c>
      <c r="E18" s="3">
        <v>31.954222222220199</v>
      </c>
      <c r="F18" s="3">
        <v>53.491999999999202</v>
      </c>
      <c r="G18" s="3">
        <v>6.9598888888891199</v>
      </c>
      <c r="H18" s="3">
        <v>1.4319999999999999</v>
      </c>
      <c r="K18" t="s">
        <v>29</v>
      </c>
      <c r="L18" s="6">
        <f t="shared" si="5"/>
        <v>46.061999999999401</v>
      </c>
      <c r="M18" s="6">
        <f t="shared" si="6"/>
        <v>65.215999999999497</v>
      </c>
      <c r="N18" s="6">
        <f t="shared" si="7"/>
        <v>31.954222222220199</v>
      </c>
      <c r="O18" s="6">
        <f t="shared" si="8"/>
        <v>53.491999999999202</v>
      </c>
      <c r="P18" s="6">
        <f t="shared" si="9"/>
        <v>6.9598888888891199</v>
      </c>
      <c r="Q18" s="6">
        <f t="shared" si="10"/>
        <v>1.4319999999999999</v>
      </c>
      <c r="R18" s="7">
        <f t="shared" si="11"/>
        <v>7</v>
      </c>
      <c r="S18">
        <f t="shared" si="2"/>
        <v>5.166666666666667</v>
      </c>
      <c r="T18">
        <f t="shared" si="12"/>
        <v>2</v>
      </c>
      <c r="U18">
        <f t="shared" si="12"/>
        <v>2</v>
      </c>
      <c r="V18">
        <f t="shared" si="12"/>
        <v>7</v>
      </c>
      <c r="W18">
        <f t="shared" si="13"/>
        <v>7</v>
      </c>
      <c r="X18">
        <f t="shared" si="13"/>
        <v>7</v>
      </c>
      <c r="Y18">
        <f t="shared" si="13"/>
        <v>6</v>
      </c>
    </row>
    <row r="19" spans="1:25">
      <c r="B19" t="s">
        <v>14</v>
      </c>
      <c r="C19" s="3">
        <v>47.979999999999002</v>
      </c>
      <c r="D19" s="3">
        <v>67.280000000000499</v>
      </c>
      <c r="E19" s="3">
        <v>37.5562222222214</v>
      </c>
      <c r="F19" s="3">
        <v>36.8560000000004</v>
      </c>
      <c r="G19" s="3">
        <v>4.07488888888905</v>
      </c>
      <c r="H19" s="3">
        <v>1.76199999999999</v>
      </c>
      <c r="K19" t="s">
        <v>30</v>
      </c>
      <c r="L19" s="8">
        <f t="shared" si="5"/>
        <v>47.979999999999002</v>
      </c>
      <c r="M19" s="8">
        <f t="shared" si="6"/>
        <v>67.280000000000499</v>
      </c>
      <c r="N19" s="6">
        <f t="shared" si="7"/>
        <v>37.5562222222214</v>
      </c>
      <c r="O19" s="8">
        <f t="shared" si="8"/>
        <v>36.8560000000004</v>
      </c>
      <c r="P19" s="6">
        <f t="shared" si="9"/>
        <v>4.07488888888905</v>
      </c>
      <c r="Q19" s="6">
        <f t="shared" si="10"/>
        <v>1.76199999999999</v>
      </c>
      <c r="R19" s="7">
        <f t="shared" si="11"/>
        <v>2</v>
      </c>
      <c r="S19">
        <f t="shared" si="2"/>
        <v>3.1666666666666665</v>
      </c>
      <c r="T19">
        <f t="shared" si="12"/>
        <v>1</v>
      </c>
      <c r="U19">
        <f t="shared" si="12"/>
        <v>1</v>
      </c>
      <c r="V19">
        <f t="shared" si="12"/>
        <v>4</v>
      </c>
      <c r="W19">
        <f t="shared" si="13"/>
        <v>1</v>
      </c>
      <c r="X19">
        <f t="shared" si="13"/>
        <v>5</v>
      </c>
      <c r="Y19">
        <f t="shared" si="13"/>
        <v>7</v>
      </c>
    </row>
    <row r="20" spans="1:25">
      <c r="A20" t="s">
        <v>48</v>
      </c>
      <c r="B20" t="s">
        <v>11</v>
      </c>
      <c r="C20" s="3">
        <v>47.391999999999001</v>
      </c>
      <c r="D20" s="3">
        <v>61.482000000001001</v>
      </c>
      <c r="E20" s="3">
        <v>41.1587777777778</v>
      </c>
      <c r="F20" s="3">
        <v>47.109999999999403</v>
      </c>
      <c r="G20" s="3">
        <v>2.3542222222222402</v>
      </c>
      <c r="H20" s="3">
        <v>0.77600000000000002</v>
      </c>
      <c r="J20">
        <v>0.3</v>
      </c>
      <c r="K20" t="s">
        <v>24</v>
      </c>
      <c r="L20" s="6">
        <f t="shared" ref="L20:L26" si="14">C20</f>
        <v>47.391999999999001</v>
      </c>
      <c r="M20" s="6">
        <f t="shared" ref="M20:M26" si="15">D20</f>
        <v>61.482000000001001</v>
      </c>
      <c r="N20" s="8">
        <f t="shared" ref="N20:N26" si="16">E20</f>
        <v>41.1587777777778</v>
      </c>
      <c r="O20" s="6">
        <f t="shared" ref="O20:O26" si="17">F20</f>
        <v>47.109999999999403</v>
      </c>
      <c r="P20" s="6">
        <f t="shared" ref="P20:P26" si="18">G20</f>
        <v>2.3542222222222402</v>
      </c>
      <c r="Q20" s="6">
        <f t="shared" ref="Q20:Q26" si="19">H20</f>
        <v>0.77600000000000002</v>
      </c>
      <c r="R20" s="7">
        <f t="shared" ref="R20:R26" si="20">_xlfn.RANK.EQ(S20,S$20:S$26,1)</f>
        <v>1</v>
      </c>
      <c r="S20">
        <f t="shared" si="2"/>
        <v>2.6666666666666665</v>
      </c>
      <c r="T20">
        <f t="shared" ref="T20:V26" si="21">(_xlfn.RANK.AVG(L20,L$20:L$26))</f>
        <v>2</v>
      </c>
      <c r="U20">
        <f t="shared" si="21"/>
        <v>4</v>
      </c>
      <c r="V20">
        <f t="shared" si="21"/>
        <v>1</v>
      </c>
      <c r="W20">
        <f t="shared" ref="W20:Y26" si="22">(_xlfn.RANK.AVG(O20,O$20:O$26,1))</f>
        <v>3</v>
      </c>
      <c r="X20">
        <f t="shared" si="22"/>
        <v>4</v>
      </c>
      <c r="Y20">
        <f t="shared" si="22"/>
        <v>2</v>
      </c>
    </row>
    <row r="21" spans="1:25">
      <c r="B21" t="s">
        <v>12</v>
      </c>
      <c r="C21" s="3">
        <v>46.247999999999102</v>
      </c>
      <c r="D21" s="3">
        <v>60.306000000000601</v>
      </c>
      <c r="E21" s="3">
        <v>40.752666666666599</v>
      </c>
      <c r="F21" s="3">
        <v>48.097999999998997</v>
      </c>
      <c r="G21" s="3">
        <v>2.17822222222224</v>
      </c>
      <c r="H21" s="3">
        <v>0.78800000000000003</v>
      </c>
      <c r="K21" t="s">
        <v>25</v>
      </c>
      <c r="L21" s="6">
        <f t="shared" si="14"/>
        <v>46.247999999999102</v>
      </c>
      <c r="M21" s="6">
        <f t="shared" si="15"/>
        <v>60.306000000000601</v>
      </c>
      <c r="N21" s="6">
        <f t="shared" si="16"/>
        <v>40.752666666666599</v>
      </c>
      <c r="O21" s="6">
        <f t="shared" si="17"/>
        <v>48.097999999998997</v>
      </c>
      <c r="P21" s="6">
        <f t="shared" si="18"/>
        <v>2.17822222222224</v>
      </c>
      <c r="Q21" s="6">
        <f t="shared" si="19"/>
        <v>0.78800000000000003</v>
      </c>
      <c r="R21" s="7">
        <f t="shared" si="20"/>
        <v>4</v>
      </c>
      <c r="S21">
        <f t="shared" si="2"/>
        <v>3.8333333333333335</v>
      </c>
      <c r="T21">
        <f t="shared" si="21"/>
        <v>4</v>
      </c>
      <c r="U21">
        <f t="shared" si="21"/>
        <v>5</v>
      </c>
      <c r="V21">
        <f t="shared" si="21"/>
        <v>3</v>
      </c>
      <c r="W21">
        <f t="shared" si="22"/>
        <v>4</v>
      </c>
      <c r="X21">
        <f t="shared" si="22"/>
        <v>3</v>
      </c>
      <c r="Y21">
        <f t="shared" si="22"/>
        <v>4</v>
      </c>
    </row>
    <row r="22" spans="1:25">
      <c r="B22" t="s">
        <v>15</v>
      </c>
      <c r="C22" s="3">
        <v>47.299999999999201</v>
      </c>
      <c r="D22" s="3">
        <v>61.906000000000198</v>
      </c>
      <c r="E22" s="3">
        <v>41.106777777777701</v>
      </c>
      <c r="F22" s="3">
        <v>46.185999999999403</v>
      </c>
      <c r="G22" s="3">
        <v>2.87988888888892</v>
      </c>
      <c r="H22" s="3">
        <v>0.90800000000000003</v>
      </c>
      <c r="K22" t="s">
        <v>26</v>
      </c>
      <c r="L22" s="6">
        <f t="shared" si="14"/>
        <v>47.299999999999201</v>
      </c>
      <c r="M22" s="6">
        <f t="shared" si="15"/>
        <v>61.906000000000198</v>
      </c>
      <c r="N22" s="6">
        <f t="shared" si="16"/>
        <v>41.106777777777701</v>
      </c>
      <c r="O22" s="6">
        <f t="shared" si="17"/>
        <v>46.185999999999403</v>
      </c>
      <c r="P22" s="6">
        <f t="shared" si="18"/>
        <v>2.87988888888892</v>
      </c>
      <c r="Q22" s="6">
        <f t="shared" si="19"/>
        <v>0.90800000000000003</v>
      </c>
      <c r="R22" s="7">
        <f t="shared" si="20"/>
        <v>2</v>
      </c>
      <c r="S22">
        <f t="shared" si="2"/>
        <v>3.3333333333333335</v>
      </c>
      <c r="T22">
        <f t="shared" si="21"/>
        <v>3</v>
      </c>
      <c r="U22">
        <f t="shared" si="21"/>
        <v>3</v>
      </c>
      <c r="V22">
        <f t="shared" si="21"/>
        <v>2</v>
      </c>
      <c r="W22">
        <f t="shared" si="22"/>
        <v>2</v>
      </c>
      <c r="X22">
        <f t="shared" si="22"/>
        <v>5</v>
      </c>
      <c r="Y22">
        <f t="shared" si="22"/>
        <v>5</v>
      </c>
    </row>
    <row r="23" spans="1:25">
      <c r="B23" t="s">
        <v>17</v>
      </c>
      <c r="C23" s="3">
        <v>43.039999999999601</v>
      </c>
      <c r="D23" s="3">
        <v>54.936000000001201</v>
      </c>
      <c r="E23" s="3">
        <v>37.621555555555801</v>
      </c>
      <c r="F23" s="3">
        <v>51.884000000000199</v>
      </c>
      <c r="G23" s="3">
        <v>1.08</v>
      </c>
      <c r="H23" s="3">
        <v>0.63</v>
      </c>
      <c r="K23" t="s">
        <v>27</v>
      </c>
      <c r="L23" s="6">
        <f t="shared" si="14"/>
        <v>43.039999999999601</v>
      </c>
      <c r="M23" s="6">
        <f t="shared" si="15"/>
        <v>54.936000000001201</v>
      </c>
      <c r="N23" s="6">
        <f t="shared" si="16"/>
        <v>37.621555555555801</v>
      </c>
      <c r="O23" s="6">
        <f t="shared" si="17"/>
        <v>51.884000000000199</v>
      </c>
      <c r="P23" s="8">
        <f t="shared" si="18"/>
        <v>1.08</v>
      </c>
      <c r="Q23" s="8">
        <f t="shared" si="19"/>
        <v>0.63</v>
      </c>
      <c r="R23" s="7">
        <f t="shared" si="20"/>
        <v>6</v>
      </c>
      <c r="S23">
        <f t="shared" si="2"/>
        <v>4.666666666666667</v>
      </c>
      <c r="T23">
        <f t="shared" si="21"/>
        <v>7</v>
      </c>
      <c r="U23">
        <f t="shared" si="21"/>
        <v>7</v>
      </c>
      <c r="V23">
        <f t="shared" si="21"/>
        <v>6</v>
      </c>
      <c r="W23">
        <f t="shared" si="22"/>
        <v>6</v>
      </c>
      <c r="X23">
        <f t="shared" si="22"/>
        <v>1</v>
      </c>
      <c r="Y23">
        <f t="shared" si="22"/>
        <v>1</v>
      </c>
    </row>
    <row r="24" spans="1:25">
      <c r="B24" t="s">
        <v>16</v>
      </c>
      <c r="C24" s="3">
        <v>45.427999999999201</v>
      </c>
      <c r="D24" s="3">
        <v>59.026000000000899</v>
      </c>
      <c r="E24" s="3">
        <v>38.7393333333331</v>
      </c>
      <c r="F24" s="3">
        <v>49.547999999999199</v>
      </c>
      <c r="G24" s="3">
        <v>1.5785555555555599</v>
      </c>
      <c r="H24" s="3">
        <v>0.78</v>
      </c>
      <c r="K24" t="s">
        <v>28</v>
      </c>
      <c r="L24" s="6">
        <f t="shared" si="14"/>
        <v>45.427999999999201</v>
      </c>
      <c r="M24" s="6">
        <f t="shared" si="15"/>
        <v>59.026000000000899</v>
      </c>
      <c r="N24" s="6">
        <f t="shared" si="16"/>
        <v>38.7393333333331</v>
      </c>
      <c r="O24" s="6">
        <f t="shared" si="17"/>
        <v>49.547999999999199</v>
      </c>
      <c r="P24" s="6">
        <f t="shared" si="18"/>
        <v>1.5785555555555599</v>
      </c>
      <c r="Q24" s="6">
        <f t="shared" si="19"/>
        <v>0.78</v>
      </c>
      <c r="R24" s="7">
        <f t="shared" si="20"/>
        <v>5</v>
      </c>
      <c r="S24">
        <f t="shared" si="2"/>
        <v>4.5</v>
      </c>
      <c r="T24">
        <f t="shared" si="21"/>
        <v>6</v>
      </c>
      <c r="U24">
        <f t="shared" si="21"/>
        <v>6</v>
      </c>
      <c r="V24">
        <f t="shared" si="21"/>
        <v>5</v>
      </c>
      <c r="W24">
        <f t="shared" si="22"/>
        <v>5</v>
      </c>
      <c r="X24">
        <f t="shared" si="22"/>
        <v>2</v>
      </c>
      <c r="Y24">
        <f t="shared" si="22"/>
        <v>3</v>
      </c>
    </row>
    <row r="25" spans="1:25">
      <c r="B25" t="s">
        <v>13</v>
      </c>
      <c r="C25" s="3">
        <v>45.605999999999497</v>
      </c>
      <c r="D25" s="3">
        <v>64.687999999999406</v>
      </c>
      <c r="E25" s="3">
        <v>31.611222222220199</v>
      </c>
      <c r="F25" s="3">
        <v>54.047999999999099</v>
      </c>
      <c r="G25" s="3">
        <v>6.6003333333335599</v>
      </c>
      <c r="H25" s="3">
        <v>1.1679999999999999</v>
      </c>
      <c r="K25" t="s">
        <v>29</v>
      </c>
      <c r="L25" s="6">
        <f t="shared" si="14"/>
        <v>45.605999999999497</v>
      </c>
      <c r="M25" s="6">
        <f t="shared" si="15"/>
        <v>64.687999999999406</v>
      </c>
      <c r="N25" s="6">
        <f t="shared" si="16"/>
        <v>31.611222222220199</v>
      </c>
      <c r="O25" s="6">
        <f t="shared" si="17"/>
        <v>54.047999999999099</v>
      </c>
      <c r="P25" s="6">
        <f t="shared" si="18"/>
        <v>6.6003333333335599</v>
      </c>
      <c r="Q25" s="6">
        <f t="shared" si="19"/>
        <v>1.1679999999999999</v>
      </c>
      <c r="R25" s="7">
        <f t="shared" si="20"/>
        <v>7</v>
      </c>
      <c r="S25">
        <f t="shared" si="2"/>
        <v>5.666666666666667</v>
      </c>
      <c r="T25">
        <f t="shared" si="21"/>
        <v>5</v>
      </c>
      <c r="U25">
        <f t="shared" si="21"/>
        <v>2</v>
      </c>
      <c r="V25">
        <f t="shared" si="21"/>
        <v>7</v>
      </c>
      <c r="W25">
        <f t="shared" si="22"/>
        <v>7</v>
      </c>
      <c r="X25">
        <f t="shared" si="22"/>
        <v>7</v>
      </c>
      <c r="Y25">
        <f t="shared" si="22"/>
        <v>6</v>
      </c>
    </row>
    <row r="26" spans="1:25">
      <c r="B26" t="s">
        <v>14</v>
      </c>
      <c r="C26" s="3">
        <v>48.621999999998899</v>
      </c>
      <c r="D26" s="3">
        <v>67.400000000000404</v>
      </c>
      <c r="E26" s="3">
        <v>39.2692222222217</v>
      </c>
      <c r="F26" s="3">
        <v>35.946000000000602</v>
      </c>
      <c r="G26" s="3">
        <v>3.8038888888890199</v>
      </c>
      <c r="H26" s="3">
        <v>1.6859999999999999</v>
      </c>
      <c r="K26" t="s">
        <v>30</v>
      </c>
      <c r="L26" s="8">
        <f t="shared" si="14"/>
        <v>48.621999999998899</v>
      </c>
      <c r="M26" s="8">
        <f t="shared" si="15"/>
        <v>67.400000000000404</v>
      </c>
      <c r="N26" s="6">
        <f t="shared" si="16"/>
        <v>39.2692222222217</v>
      </c>
      <c r="O26" s="8">
        <f t="shared" si="17"/>
        <v>35.946000000000602</v>
      </c>
      <c r="P26" s="6">
        <f t="shared" si="18"/>
        <v>3.8038888888890199</v>
      </c>
      <c r="Q26" s="6">
        <f t="shared" si="19"/>
        <v>1.6859999999999999</v>
      </c>
      <c r="R26" s="7">
        <f t="shared" si="20"/>
        <v>2</v>
      </c>
      <c r="S26">
        <f t="shared" si="2"/>
        <v>3.3333333333333335</v>
      </c>
      <c r="T26">
        <f t="shared" si="21"/>
        <v>1</v>
      </c>
      <c r="U26">
        <f t="shared" si="21"/>
        <v>1</v>
      </c>
      <c r="V26">
        <f t="shared" si="21"/>
        <v>4</v>
      </c>
      <c r="W26">
        <f t="shared" si="22"/>
        <v>1</v>
      </c>
      <c r="X26">
        <f t="shared" si="22"/>
        <v>6</v>
      </c>
      <c r="Y26">
        <f t="shared" si="22"/>
        <v>7</v>
      </c>
    </row>
    <row r="27" spans="1:25">
      <c r="A27" t="s">
        <v>49</v>
      </c>
      <c r="B27" t="s">
        <v>11</v>
      </c>
      <c r="C27" s="3">
        <v>48.693999999999697</v>
      </c>
      <c r="D27" s="3">
        <v>60.212000000001503</v>
      </c>
      <c r="E27" s="3">
        <v>42.819666666667501</v>
      </c>
      <c r="F27" s="3">
        <v>47.341999999999501</v>
      </c>
      <c r="G27" s="3">
        <v>1.42966666666667</v>
      </c>
      <c r="H27" s="3">
        <v>0.46400000000000002</v>
      </c>
      <c r="J27">
        <v>0.4</v>
      </c>
      <c r="K27" t="s">
        <v>24</v>
      </c>
      <c r="L27" s="6">
        <f t="shared" ref="L27:L33" si="23">C27</f>
        <v>48.693999999999697</v>
      </c>
      <c r="M27" s="6">
        <f t="shared" ref="M27:M33" si="24">D27</f>
        <v>60.212000000001503</v>
      </c>
      <c r="N27" s="6">
        <f t="shared" ref="N27:N33" si="25">E27</f>
        <v>42.819666666667501</v>
      </c>
      <c r="O27" s="6">
        <f t="shared" ref="O27:O33" si="26">F27</f>
        <v>47.341999999999501</v>
      </c>
      <c r="P27" s="6">
        <f t="shared" ref="P27:P33" si="27">G27</f>
        <v>1.42966666666667</v>
      </c>
      <c r="Q27" s="6">
        <f t="shared" ref="Q27:Q33" si="28">H27</f>
        <v>0.46400000000000002</v>
      </c>
      <c r="R27" s="7">
        <f t="shared" ref="R27:R33" si="29">_xlfn.RANK.EQ(S27,S$27:S$33,1)</f>
        <v>1</v>
      </c>
      <c r="S27">
        <f t="shared" si="2"/>
        <v>3</v>
      </c>
      <c r="T27">
        <f t="shared" ref="T27:V33" si="30">(_xlfn.RANK.AVG(L27,L$27:L$33))</f>
        <v>2</v>
      </c>
      <c r="U27">
        <f t="shared" si="30"/>
        <v>4</v>
      </c>
      <c r="V27">
        <f t="shared" si="30"/>
        <v>2</v>
      </c>
      <c r="W27">
        <f t="shared" ref="W27:Y33" si="31">(_xlfn.RANK.AVG(O27,O$27:O$33,1))</f>
        <v>3</v>
      </c>
      <c r="X27">
        <f t="shared" si="31"/>
        <v>4</v>
      </c>
      <c r="Y27">
        <f t="shared" si="31"/>
        <v>3</v>
      </c>
    </row>
    <row r="28" spans="1:25">
      <c r="B28" t="s">
        <v>12</v>
      </c>
      <c r="C28" s="3">
        <v>46.959999999999702</v>
      </c>
      <c r="D28" s="3">
        <v>58.340000000001197</v>
      </c>
      <c r="E28" s="3">
        <v>42.053888888889603</v>
      </c>
      <c r="F28" s="3">
        <v>48.841999999999302</v>
      </c>
      <c r="G28" s="3">
        <v>1.31388888888889</v>
      </c>
      <c r="H28" s="3">
        <v>0.51800000000000002</v>
      </c>
      <c r="K28" t="s">
        <v>25</v>
      </c>
      <c r="L28" s="6">
        <f t="shared" si="23"/>
        <v>46.959999999999702</v>
      </c>
      <c r="M28" s="6">
        <f t="shared" si="24"/>
        <v>58.340000000001197</v>
      </c>
      <c r="N28" s="6">
        <f t="shared" si="25"/>
        <v>42.053888888889603</v>
      </c>
      <c r="O28" s="6">
        <f t="shared" si="26"/>
        <v>48.841999999999302</v>
      </c>
      <c r="P28" s="6">
        <f t="shared" si="27"/>
        <v>1.31388888888889</v>
      </c>
      <c r="Q28" s="6">
        <f t="shared" si="28"/>
        <v>0.51800000000000002</v>
      </c>
      <c r="R28" s="7">
        <f t="shared" si="29"/>
        <v>4</v>
      </c>
      <c r="S28">
        <f t="shared" si="2"/>
        <v>3.8333333333333335</v>
      </c>
      <c r="T28">
        <f t="shared" si="30"/>
        <v>4</v>
      </c>
      <c r="U28">
        <f t="shared" si="30"/>
        <v>5</v>
      </c>
      <c r="V28">
        <f t="shared" si="30"/>
        <v>3</v>
      </c>
      <c r="W28">
        <f t="shared" si="31"/>
        <v>4</v>
      </c>
      <c r="X28">
        <f t="shared" si="31"/>
        <v>3</v>
      </c>
      <c r="Y28">
        <f t="shared" si="31"/>
        <v>4</v>
      </c>
    </row>
    <row r="29" spans="1:25">
      <c r="B29" t="s">
        <v>15</v>
      </c>
      <c r="C29" s="3">
        <v>48.463999999999501</v>
      </c>
      <c r="D29" s="3">
        <v>60.442000000001102</v>
      </c>
      <c r="E29" s="3">
        <v>42.880000000000699</v>
      </c>
      <c r="F29" s="3">
        <v>46.311999999999003</v>
      </c>
      <c r="G29" s="3">
        <v>1.57911111111111</v>
      </c>
      <c r="H29" s="3">
        <v>0.55400000000000005</v>
      </c>
      <c r="K29" t="s">
        <v>26</v>
      </c>
      <c r="L29" s="6">
        <f t="shared" si="23"/>
        <v>48.463999999999501</v>
      </c>
      <c r="M29" s="6">
        <f t="shared" si="24"/>
        <v>60.442000000001102</v>
      </c>
      <c r="N29" s="8">
        <f t="shared" si="25"/>
        <v>42.880000000000699</v>
      </c>
      <c r="O29" s="6">
        <f t="shared" si="26"/>
        <v>46.311999999999003</v>
      </c>
      <c r="P29" s="6">
        <f t="shared" si="27"/>
        <v>1.57911111111111</v>
      </c>
      <c r="Q29" s="6">
        <f t="shared" si="28"/>
        <v>0.55400000000000005</v>
      </c>
      <c r="R29" s="7">
        <f t="shared" si="29"/>
        <v>2</v>
      </c>
      <c r="S29">
        <f t="shared" si="2"/>
        <v>3.1666666666666665</v>
      </c>
      <c r="T29">
        <f t="shared" si="30"/>
        <v>3</v>
      </c>
      <c r="U29">
        <f t="shared" si="30"/>
        <v>3</v>
      </c>
      <c r="V29">
        <f t="shared" si="30"/>
        <v>1</v>
      </c>
      <c r="W29">
        <f t="shared" si="31"/>
        <v>2</v>
      </c>
      <c r="X29">
        <f t="shared" si="31"/>
        <v>5</v>
      </c>
      <c r="Y29">
        <f t="shared" si="31"/>
        <v>5</v>
      </c>
    </row>
    <row r="30" spans="1:25">
      <c r="B30" t="s">
        <v>17</v>
      </c>
      <c r="C30" s="3">
        <v>43.258000000000102</v>
      </c>
      <c r="D30" s="3">
        <v>53.1980000000015</v>
      </c>
      <c r="E30" s="3">
        <v>38.313000000000997</v>
      </c>
      <c r="F30" s="3">
        <v>53.536000000000698</v>
      </c>
      <c r="G30" s="3">
        <v>0.58655555555555305</v>
      </c>
      <c r="H30" s="3">
        <v>0.34799999999999998</v>
      </c>
      <c r="K30" t="s">
        <v>27</v>
      </c>
      <c r="L30" s="6">
        <f t="shared" si="23"/>
        <v>43.258000000000102</v>
      </c>
      <c r="M30" s="6">
        <f t="shared" si="24"/>
        <v>53.1980000000015</v>
      </c>
      <c r="N30" s="6">
        <f t="shared" si="25"/>
        <v>38.313000000000997</v>
      </c>
      <c r="O30" s="6">
        <f t="shared" si="26"/>
        <v>53.536000000000698</v>
      </c>
      <c r="P30" s="8">
        <f t="shared" si="27"/>
        <v>0.58655555555555305</v>
      </c>
      <c r="Q30" s="8">
        <f t="shared" si="28"/>
        <v>0.34799999999999998</v>
      </c>
      <c r="R30" s="7">
        <f t="shared" si="29"/>
        <v>6</v>
      </c>
      <c r="S30">
        <f t="shared" si="2"/>
        <v>4.833333333333333</v>
      </c>
      <c r="T30">
        <f t="shared" si="30"/>
        <v>7</v>
      </c>
      <c r="U30">
        <f t="shared" si="30"/>
        <v>7</v>
      </c>
      <c r="V30">
        <f t="shared" si="30"/>
        <v>6</v>
      </c>
      <c r="W30">
        <f t="shared" si="31"/>
        <v>7</v>
      </c>
      <c r="X30">
        <f t="shared" si="31"/>
        <v>1</v>
      </c>
      <c r="Y30">
        <f t="shared" si="31"/>
        <v>1</v>
      </c>
    </row>
    <row r="31" spans="1:25">
      <c r="B31" t="s">
        <v>16</v>
      </c>
      <c r="C31" s="3">
        <v>46.357999999999997</v>
      </c>
      <c r="D31" s="3">
        <v>57.176000000001402</v>
      </c>
      <c r="E31" s="3">
        <v>40.0911111111119</v>
      </c>
      <c r="F31" s="3">
        <v>50.523999999999603</v>
      </c>
      <c r="G31" s="3">
        <v>0.78644444444444195</v>
      </c>
      <c r="H31" s="3">
        <v>0.43</v>
      </c>
      <c r="K31" t="s">
        <v>28</v>
      </c>
      <c r="L31" s="6">
        <f t="shared" si="23"/>
        <v>46.357999999999997</v>
      </c>
      <c r="M31" s="6">
        <f t="shared" si="24"/>
        <v>57.176000000001402</v>
      </c>
      <c r="N31" s="6">
        <f t="shared" si="25"/>
        <v>40.0911111111119</v>
      </c>
      <c r="O31" s="6">
        <f t="shared" si="26"/>
        <v>50.523999999999603</v>
      </c>
      <c r="P31" s="6">
        <f t="shared" si="27"/>
        <v>0.78644444444444195</v>
      </c>
      <c r="Q31" s="6">
        <f t="shared" si="28"/>
        <v>0.43</v>
      </c>
      <c r="R31" s="7">
        <f t="shared" si="29"/>
        <v>5</v>
      </c>
      <c r="S31">
        <f t="shared" si="2"/>
        <v>4.333333333333333</v>
      </c>
      <c r="T31">
        <f t="shared" si="30"/>
        <v>6</v>
      </c>
      <c r="U31">
        <f t="shared" si="30"/>
        <v>6</v>
      </c>
      <c r="V31">
        <f t="shared" si="30"/>
        <v>5</v>
      </c>
      <c r="W31">
        <f t="shared" si="31"/>
        <v>5</v>
      </c>
      <c r="X31">
        <f t="shared" si="31"/>
        <v>2</v>
      </c>
      <c r="Y31">
        <f t="shared" si="31"/>
        <v>2</v>
      </c>
    </row>
    <row r="32" spans="1:25">
      <c r="B32" t="s">
        <v>13</v>
      </c>
      <c r="C32" s="3">
        <v>46.719999999999303</v>
      </c>
      <c r="D32" s="3">
        <v>65.903999999999897</v>
      </c>
      <c r="E32" s="3">
        <v>31.853999999998202</v>
      </c>
      <c r="F32" s="3">
        <v>53.267999999999198</v>
      </c>
      <c r="G32" s="3">
        <v>6.6030000000002103</v>
      </c>
      <c r="H32" s="3">
        <v>1.0960000000000001</v>
      </c>
      <c r="K32" t="s">
        <v>29</v>
      </c>
      <c r="L32" s="6">
        <f t="shared" si="23"/>
        <v>46.719999999999303</v>
      </c>
      <c r="M32" s="6">
        <f t="shared" si="24"/>
        <v>65.903999999999897</v>
      </c>
      <c r="N32" s="6">
        <f t="shared" si="25"/>
        <v>31.853999999998202</v>
      </c>
      <c r="O32" s="6">
        <f t="shared" si="26"/>
        <v>53.267999999999198</v>
      </c>
      <c r="P32" s="6">
        <f t="shared" si="27"/>
        <v>6.6030000000002103</v>
      </c>
      <c r="Q32" s="6">
        <f t="shared" si="28"/>
        <v>1.0960000000000001</v>
      </c>
      <c r="R32" s="7">
        <f t="shared" si="29"/>
        <v>7</v>
      </c>
      <c r="S32">
        <f t="shared" si="2"/>
        <v>5.5</v>
      </c>
      <c r="T32">
        <f t="shared" si="30"/>
        <v>5</v>
      </c>
      <c r="U32">
        <f t="shared" si="30"/>
        <v>2</v>
      </c>
      <c r="V32">
        <f t="shared" si="30"/>
        <v>7</v>
      </c>
      <c r="W32">
        <f t="shared" si="31"/>
        <v>6</v>
      </c>
      <c r="X32">
        <f t="shared" si="31"/>
        <v>7</v>
      </c>
      <c r="Y32">
        <f t="shared" si="31"/>
        <v>6</v>
      </c>
    </row>
    <row r="33" spans="1:25">
      <c r="B33" t="s">
        <v>14</v>
      </c>
      <c r="C33" s="3">
        <v>50.101999999998597</v>
      </c>
      <c r="D33" s="3">
        <v>68.972000000000804</v>
      </c>
      <c r="E33" s="3">
        <v>40.984666666666399</v>
      </c>
      <c r="F33" s="3">
        <v>34.2180000000006</v>
      </c>
      <c r="G33" s="3">
        <v>3.1928888888889899</v>
      </c>
      <c r="H33" s="3">
        <v>1.4359999999999999</v>
      </c>
      <c r="K33" t="s">
        <v>30</v>
      </c>
      <c r="L33" s="8">
        <f t="shared" si="23"/>
        <v>50.101999999998597</v>
      </c>
      <c r="M33" s="8">
        <f t="shared" si="24"/>
        <v>68.972000000000804</v>
      </c>
      <c r="N33" s="6">
        <f t="shared" si="25"/>
        <v>40.984666666666399</v>
      </c>
      <c r="O33" s="8">
        <f t="shared" si="26"/>
        <v>34.2180000000006</v>
      </c>
      <c r="P33" s="6">
        <f t="shared" si="27"/>
        <v>3.1928888888889899</v>
      </c>
      <c r="Q33" s="6">
        <f t="shared" si="28"/>
        <v>1.4359999999999999</v>
      </c>
      <c r="R33" s="7">
        <f t="shared" si="29"/>
        <v>3</v>
      </c>
      <c r="S33">
        <f t="shared" si="2"/>
        <v>3.3333333333333335</v>
      </c>
      <c r="T33">
        <f t="shared" si="30"/>
        <v>1</v>
      </c>
      <c r="U33">
        <f t="shared" si="30"/>
        <v>1</v>
      </c>
      <c r="V33">
        <f t="shared" si="30"/>
        <v>4</v>
      </c>
      <c r="W33">
        <f t="shared" si="31"/>
        <v>1</v>
      </c>
      <c r="X33">
        <f t="shared" si="31"/>
        <v>6</v>
      </c>
      <c r="Y33">
        <f t="shared" si="31"/>
        <v>7</v>
      </c>
    </row>
    <row r="34" spans="1:25">
      <c r="A34" t="s">
        <v>18</v>
      </c>
      <c r="C34" s="3">
        <v>1290.8419999999826</v>
      </c>
      <c r="D34" s="3">
        <v>1727.608000000014</v>
      </c>
      <c r="E34" s="3">
        <v>1065.0707777777677</v>
      </c>
      <c r="F34" s="3">
        <v>1323.9599999999866</v>
      </c>
      <c r="G34" s="3">
        <v>93.603444444446652</v>
      </c>
      <c r="H34" s="3">
        <v>30.491999999999976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337"/>
  <sheetViews>
    <sheetView workbookViewId="0">
      <selection activeCell="F6" sqref="F6"/>
    </sheetView>
  </sheetViews>
  <sheetFormatPr defaultRowHeight="14.75"/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36</v>
      </c>
      <c r="L1" t="s">
        <v>10</v>
      </c>
      <c r="M1" t="s">
        <v>41</v>
      </c>
      <c r="N1" t="s">
        <v>42</v>
      </c>
      <c r="O1" t="s">
        <v>43</v>
      </c>
    </row>
    <row r="2" spans="1:15">
      <c r="A2">
        <v>12</v>
      </c>
      <c r="B2">
        <v>1</v>
      </c>
      <c r="C2">
        <v>1</v>
      </c>
      <c r="D2">
        <v>40.763999999999101</v>
      </c>
      <c r="E2">
        <v>57.472000000000499</v>
      </c>
      <c r="F2">
        <v>33.264999999998402</v>
      </c>
      <c r="G2">
        <v>49.086666666665799</v>
      </c>
      <c r="H2">
        <v>1.62</v>
      </c>
      <c r="I2">
        <v>2.5028333333333501</v>
      </c>
      <c r="J2">
        <v>49.9560000000005</v>
      </c>
      <c r="K2">
        <v>0.624</v>
      </c>
      <c r="L2" t="s">
        <v>11</v>
      </c>
      <c r="M2">
        <v>0.1</v>
      </c>
      <c r="N2">
        <v>0.2</v>
      </c>
      <c r="O2" t="str">
        <f>M2&amp;","&amp;N2</f>
        <v>0.1,0.2</v>
      </c>
    </row>
    <row r="3" spans="1:15">
      <c r="A3">
        <v>18</v>
      </c>
      <c r="B3">
        <v>1</v>
      </c>
      <c r="C3">
        <v>1</v>
      </c>
      <c r="D3">
        <v>43.617999999999299</v>
      </c>
      <c r="E3">
        <v>60.526000000000501</v>
      </c>
      <c r="F3">
        <v>36.307333333332998</v>
      </c>
      <c r="G3">
        <v>52.541222222222999</v>
      </c>
      <c r="H3">
        <v>2.202</v>
      </c>
      <c r="I3">
        <v>2.1331111111111398</v>
      </c>
      <c r="J3">
        <v>48.568000000000303</v>
      </c>
      <c r="K3">
        <v>0.41799999999999998</v>
      </c>
      <c r="L3" t="s">
        <v>11</v>
      </c>
      <c r="M3">
        <v>0.1</v>
      </c>
      <c r="N3">
        <v>0.2</v>
      </c>
      <c r="O3" t="str">
        <f t="shared" ref="O3:O66" si="0">M3&amp;","&amp;N3</f>
        <v>0.1,0.2</v>
      </c>
    </row>
    <row r="4" spans="1:15">
      <c r="A4">
        <v>12</v>
      </c>
      <c r="B4">
        <v>2</v>
      </c>
      <c r="C4">
        <v>1</v>
      </c>
      <c r="D4">
        <v>40.525999999999399</v>
      </c>
      <c r="E4">
        <v>54.582000000000797</v>
      </c>
      <c r="F4">
        <v>33.012166666664797</v>
      </c>
      <c r="G4">
        <v>45.752166666666703</v>
      </c>
      <c r="H4">
        <v>1.66</v>
      </c>
      <c r="I4">
        <v>2.6461666666666801</v>
      </c>
      <c r="J4">
        <v>52.5140000000005</v>
      </c>
      <c r="K4">
        <v>1.1319999999999999</v>
      </c>
      <c r="L4" t="s">
        <v>11</v>
      </c>
      <c r="M4">
        <v>0.1</v>
      </c>
      <c r="N4">
        <v>0.2</v>
      </c>
      <c r="O4" t="str">
        <f t="shared" si="0"/>
        <v>0.1,0.2</v>
      </c>
    </row>
    <row r="5" spans="1:15">
      <c r="A5">
        <v>18</v>
      </c>
      <c r="B5">
        <v>2</v>
      </c>
      <c r="C5">
        <v>1</v>
      </c>
      <c r="D5">
        <v>42.745999999999199</v>
      </c>
      <c r="E5">
        <v>57.4400000000009</v>
      </c>
      <c r="F5">
        <v>35.824888888888502</v>
      </c>
      <c r="G5">
        <v>49.534444444446201</v>
      </c>
      <c r="H5">
        <v>2.028</v>
      </c>
      <c r="I5">
        <v>2.4003333333333798</v>
      </c>
      <c r="J5">
        <v>50.746000000000102</v>
      </c>
      <c r="K5">
        <v>0.89800000000000002</v>
      </c>
      <c r="L5" t="s">
        <v>11</v>
      </c>
      <c r="M5">
        <v>0.1</v>
      </c>
      <c r="N5">
        <v>0.2</v>
      </c>
      <c r="O5" t="str">
        <f t="shared" si="0"/>
        <v>0.1,0.2</v>
      </c>
    </row>
    <row r="6" spans="1:15">
      <c r="A6">
        <v>12</v>
      </c>
      <c r="B6">
        <v>1</v>
      </c>
      <c r="C6">
        <v>1</v>
      </c>
      <c r="D6">
        <v>41.123999999999199</v>
      </c>
      <c r="E6">
        <v>57.915999999999997</v>
      </c>
      <c r="F6">
        <v>33.191166666664799</v>
      </c>
      <c r="G6">
        <v>49.215166666665503</v>
      </c>
      <c r="H6">
        <v>1.8180000000000001</v>
      </c>
      <c r="I6">
        <v>3.34850000000004</v>
      </c>
      <c r="J6">
        <v>50.013999999999498</v>
      </c>
      <c r="K6">
        <v>0.68600000000000005</v>
      </c>
      <c r="L6" t="s">
        <v>12</v>
      </c>
      <c r="M6">
        <v>0.1</v>
      </c>
      <c r="N6">
        <v>0.2</v>
      </c>
      <c r="O6" t="str">
        <f t="shared" si="0"/>
        <v>0.1,0.2</v>
      </c>
    </row>
    <row r="7" spans="1:15">
      <c r="A7">
        <v>18</v>
      </c>
      <c r="B7">
        <v>1</v>
      </c>
      <c r="C7">
        <v>1</v>
      </c>
      <c r="D7">
        <v>43.683999999999102</v>
      </c>
      <c r="E7">
        <v>60.937999999999803</v>
      </c>
      <c r="F7">
        <v>36.297444444444203</v>
      </c>
      <c r="G7">
        <v>52.887555555555899</v>
      </c>
      <c r="H7">
        <v>2.37</v>
      </c>
      <c r="I7">
        <v>2.8491111111111702</v>
      </c>
      <c r="J7">
        <v>47.327999999999101</v>
      </c>
      <c r="K7">
        <v>0.35599999999999998</v>
      </c>
      <c r="L7" t="s">
        <v>12</v>
      </c>
      <c r="M7">
        <v>0.1</v>
      </c>
      <c r="N7">
        <v>0.2</v>
      </c>
      <c r="O7" t="str">
        <f t="shared" si="0"/>
        <v>0.1,0.2</v>
      </c>
    </row>
    <row r="8" spans="1:15">
      <c r="A8">
        <v>12</v>
      </c>
      <c r="B8">
        <v>2</v>
      </c>
      <c r="C8">
        <v>1</v>
      </c>
      <c r="D8">
        <v>41.083999999999698</v>
      </c>
      <c r="E8">
        <v>55.954000000000498</v>
      </c>
      <c r="F8">
        <v>32.926333333331499</v>
      </c>
      <c r="G8">
        <v>47.149666666666803</v>
      </c>
      <c r="H8">
        <v>1.736</v>
      </c>
      <c r="I8">
        <v>3.4835000000000398</v>
      </c>
      <c r="J8">
        <v>50.181999999999498</v>
      </c>
      <c r="K8">
        <v>1.3660000000000001</v>
      </c>
      <c r="L8" t="s">
        <v>12</v>
      </c>
      <c r="M8">
        <v>0.1</v>
      </c>
      <c r="N8">
        <v>0.2</v>
      </c>
      <c r="O8" t="str">
        <f t="shared" si="0"/>
        <v>0.1,0.2</v>
      </c>
    </row>
    <row r="9" spans="1:15">
      <c r="A9">
        <v>18</v>
      </c>
      <c r="B9">
        <v>2</v>
      </c>
      <c r="C9">
        <v>1</v>
      </c>
      <c r="D9">
        <v>43.057999999999602</v>
      </c>
      <c r="E9">
        <v>58.746000000000699</v>
      </c>
      <c r="F9">
        <v>35.532888888888401</v>
      </c>
      <c r="G9">
        <v>50.641888888890399</v>
      </c>
      <c r="H9">
        <v>2.3460000000000001</v>
      </c>
      <c r="I9">
        <v>2.9005555555556199</v>
      </c>
      <c r="J9">
        <v>48.183999999999003</v>
      </c>
      <c r="K9">
        <v>0.92600000000000005</v>
      </c>
      <c r="L9" t="s">
        <v>12</v>
      </c>
      <c r="M9">
        <v>0.1</v>
      </c>
      <c r="N9">
        <v>0.2</v>
      </c>
      <c r="O9" t="str">
        <f t="shared" si="0"/>
        <v>0.1,0.2</v>
      </c>
    </row>
    <row r="10" spans="1:15">
      <c r="A10">
        <v>12</v>
      </c>
      <c r="B10">
        <v>1</v>
      </c>
      <c r="C10">
        <v>1</v>
      </c>
      <c r="D10">
        <v>42.333999999999598</v>
      </c>
      <c r="E10">
        <v>61.989999999998297</v>
      </c>
      <c r="F10">
        <v>28.253166666664299</v>
      </c>
      <c r="G10">
        <v>48.086999999998199</v>
      </c>
      <c r="H10">
        <v>1.5820000000000001</v>
      </c>
      <c r="I10">
        <v>8.5863333333333909</v>
      </c>
      <c r="J10">
        <v>58.837999999998701</v>
      </c>
      <c r="K10">
        <v>0.94199999999999995</v>
      </c>
      <c r="L10" t="s">
        <v>13</v>
      </c>
      <c r="M10">
        <v>0.1</v>
      </c>
      <c r="N10">
        <v>0.2</v>
      </c>
      <c r="O10" t="str">
        <f t="shared" si="0"/>
        <v>0.1,0.2</v>
      </c>
    </row>
    <row r="11" spans="1:15">
      <c r="A11">
        <v>18</v>
      </c>
      <c r="B11">
        <v>1</v>
      </c>
      <c r="C11">
        <v>1</v>
      </c>
      <c r="D11">
        <v>43.697999999999602</v>
      </c>
      <c r="E11">
        <v>63.831999999998402</v>
      </c>
      <c r="F11">
        <v>31.083666666664602</v>
      </c>
      <c r="G11">
        <v>51.1416666666655</v>
      </c>
      <c r="H11">
        <v>1.8859999999999999</v>
      </c>
      <c r="I11">
        <v>7.5176666666669503</v>
      </c>
      <c r="J11">
        <v>55.419999999998701</v>
      </c>
      <c r="K11">
        <v>0.56799999999999995</v>
      </c>
      <c r="L11" t="s">
        <v>13</v>
      </c>
      <c r="M11">
        <v>0.1</v>
      </c>
      <c r="N11">
        <v>0.2</v>
      </c>
      <c r="O11" t="str">
        <f t="shared" si="0"/>
        <v>0.1,0.2</v>
      </c>
    </row>
    <row r="12" spans="1:15">
      <c r="A12">
        <v>12</v>
      </c>
      <c r="B12">
        <v>2</v>
      </c>
      <c r="C12">
        <v>1</v>
      </c>
      <c r="D12">
        <v>42.5760000000001</v>
      </c>
      <c r="E12">
        <v>61.487999999999097</v>
      </c>
      <c r="F12">
        <v>29.327499999997698</v>
      </c>
      <c r="G12">
        <v>51.936833333332103</v>
      </c>
      <c r="H12">
        <v>1.58</v>
      </c>
      <c r="I12">
        <v>8.9328333333333703</v>
      </c>
      <c r="J12">
        <v>56.5519999999986</v>
      </c>
      <c r="K12">
        <v>1.8379999999999901</v>
      </c>
      <c r="L12" t="s">
        <v>13</v>
      </c>
      <c r="M12">
        <v>0.1</v>
      </c>
      <c r="N12">
        <v>0.2</v>
      </c>
      <c r="O12" t="str">
        <f t="shared" si="0"/>
        <v>0.1,0.2</v>
      </c>
    </row>
    <row r="13" spans="1:15">
      <c r="A13">
        <v>18</v>
      </c>
      <c r="B13">
        <v>2</v>
      </c>
      <c r="C13">
        <v>1</v>
      </c>
      <c r="D13">
        <v>43.941999999999801</v>
      </c>
      <c r="E13">
        <v>63.239999999999299</v>
      </c>
      <c r="F13">
        <v>32.060777777775698</v>
      </c>
      <c r="G13">
        <v>55.973777777777499</v>
      </c>
      <c r="H13">
        <v>1.976</v>
      </c>
      <c r="I13">
        <v>7.6968888888892</v>
      </c>
      <c r="J13">
        <v>53.727999999998701</v>
      </c>
      <c r="K13">
        <v>1.022</v>
      </c>
      <c r="L13" t="s">
        <v>13</v>
      </c>
      <c r="M13">
        <v>0.1</v>
      </c>
      <c r="N13">
        <v>0.2</v>
      </c>
      <c r="O13" t="str">
        <f t="shared" si="0"/>
        <v>0.1,0.2</v>
      </c>
    </row>
    <row r="14" spans="1:15">
      <c r="A14">
        <v>12</v>
      </c>
      <c r="B14">
        <v>1</v>
      </c>
      <c r="C14">
        <v>1</v>
      </c>
      <c r="D14">
        <v>40.8099999999991</v>
      </c>
      <c r="E14">
        <v>58.456000000000301</v>
      </c>
      <c r="F14">
        <v>31.5996666666652</v>
      </c>
      <c r="G14">
        <v>47.524666666666</v>
      </c>
      <c r="H14">
        <v>1.9119999999999999</v>
      </c>
      <c r="I14">
        <v>2.6156666666667099</v>
      </c>
      <c r="J14">
        <v>46.248000000000602</v>
      </c>
      <c r="K14">
        <v>0.84599999999999997</v>
      </c>
      <c r="L14" t="s">
        <v>14</v>
      </c>
      <c r="M14">
        <v>0.1</v>
      </c>
      <c r="N14">
        <v>0.2</v>
      </c>
      <c r="O14" t="str">
        <f t="shared" si="0"/>
        <v>0.1,0.2</v>
      </c>
    </row>
    <row r="15" spans="1:15">
      <c r="A15">
        <v>18</v>
      </c>
      <c r="B15">
        <v>1</v>
      </c>
      <c r="C15">
        <v>1</v>
      </c>
      <c r="D15">
        <v>44.133999999998899</v>
      </c>
      <c r="E15">
        <v>62.870000000000402</v>
      </c>
      <c r="F15">
        <v>34.368777777778099</v>
      </c>
      <c r="G15">
        <v>51.055444444444703</v>
      </c>
      <c r="H15">
        <v>2.3879999999999999</v>
      </c>
      <c r="I15">
        <v>2.3283333333334002</v>
      </c>
      <c r="J15">
        <v>42.726000000000198</v>
      </c>
      <c r="K15">
        <v>0.68</v>
      </c>
      <c r="L15" t="s">
        <v>14</v>
      </c>
      <c r="M15">
        <v>0.1</v>
      </c>
      <c r="N15">
        <v>0.2</v>
      </c>
      <c r="O15" t="str">
        <f t="shared" si="0"/>
        <v>0.1,0.2</v>
      </c>
    </row>
    <row r="16" spans="1:15">
      <c r="A16">
        <v>12</v>
      </c>
      <c r="B16">
        <v>2</v>
      </c>
      <c r="C16">
        <v>1</v>
      </c>
      <c r="D16">
        <v>40.927999999999699</v>
      </c>
      <c r="E16">
        <v>57.5780000000005</v>
      </c>
      <c r="F16">
        <v>31.241833333332099</v>
      </c>
      <c r="G16">
        <v>45.297666666666899</v>
      </c>
      <c r="H16">
        <v>1.81</v>
      </c>
      <c r="I16">
        <v>3.3831666666667299</v>
      </c>
      <c r="J16">
        <v>45.256000000000398</v>
      </c>
      <c r="K16">
        <v>1.74999999999999</v>
      </c>
      <c r="L16" t="s">
        <v>14</v>
      </c>
      <c r="M16">
        <v>0.1</v>
      </c>
      <c r="N16">
        <v>0.2</v>
      </c>
      <c r="O16" t="str">
        <f t="shared" si="0"/>
        <v>0.1,0.2</v>
      </c>
    </row>
    <row r="17" spans="1:15">
      <c r="A17">
        <v>18</v>
      </c>
      <c r="B17">
        <v>2</v>
      </c>
      <c r="C17">
        <v>1</v>
      </c>
      <c r="D17">
        <v>44.2819999999994</v>
      </c>
      <c r="E17">
        <v>62.360000000000703</v>
      </c>
      <c r="F17">
        <v>34.034888888888901</v>
      </c>
      <c r="G17">
        <v>48.963222222223102</v>
      </c>
      <c r="H17">
        <v>2.3740000000000001</v>
      </c>
      <c r="I17">
        <v>3.0064444444445502</v>
      </c>
      <c r="J17">
        <v>40.5360000000002</v>
      </c>
      <c r="K17">
        <v>1.3640000000000001</v>
      </c>
      <c r="L17" t="s">
        <v>14</v>
      </c>
      <c r="M17">
        <v>0.1</v>
      </c>
      <c r="N17">
        <v>0.2</v>
      </c>
      <c r="O17" t="str">
        <f t="shared" si="0"/>
        <v>0.1,0.2</v>
      </c>
    </row>
    <row r="18" spans="1:15">
      <c r="A18">
        <v>12</v>
      </c>
      <c r="B18">
        <v>1</v>
      </c>
      <c r="C18">
        <v>1</v>
      </c>
      <c r="D18">
        <v>41.481999999999601</v>
      </c>
      <c r="E18">
        <v>58.767999999998899</v>
      </c>
      <c r="F18">
        <v>33.598499999997699</v>
      </c>
      <c r="G18">
        <v>50.571166666665</v>
      </c>
      <c r="H18">
        <v>2.6219999999999999</v>
      </c>
      <c r="I18">
        <v>4.2171666666667198</v>
      </c>
      <c r="J18">
        <v>51.375999999998399</v>
      </c>
      <c r="K18">
        <v>0.69799999999999995</v>
      </c>
      <c r="L18" t="s">
        <v>15</v>
      </c>
      <c r="M18">
        <v>0.1</v>
      </c>
      <c r="N18">
        <v>0.2</v>
      </c>
      <c r="O18" t="str">
        <f t="shared" si="0"/>
        <v>0.1,0.2</v>
      </c>
    </row>
    <row r="19" spans="1:15">
      <c r="A19">
        <v>18</v>
      </c>
      <c r="B19">
        <v>1</v>
      </c>
      <c r="C19">
        <v>1</v>
      </c>
      <c r="D19">
        <v>43.227999999999298</v>
      </c>
      <c r="E19">
        <v>61.101999999999101</v>
      </c>
      <c r="F19">
        <v>35.913999999999298</v>
      </c>
      <c r="G19">
        <v>53.106000000000201</v>
      </c>
      <c r="H19">
        <v>2.97</v>
      </c>
      <c r="I19">
        <v>3.7520000000000899</v>
      </c>
      <c r="J19">
        <v>50.857999999998498</v>
      </c>
      <c r="K19">
        <v>0.32600000000000001</v>
      </c>
      <c r="L19" t="s">
        <v>15</v>
      </c>
      <c r="M19">
        <v>0.1</v>
      </c>
      <c r="N19">
        <v>0.2</v>
      </c>
      <c r="O19" t="str">
        <f t="shared" si="0"/>
        <v>0.1,0.2</v>
      </c>
    </row>
    <row r="20" spans="1:15">
      <c r="A20">
        <v>12</v>
      </c>
      <c r="B20">
        <v>2</v>
      </c>
      <c r="C20">
        <v>1</v>
      </c>
      <c r="D20">
        <v>41.008000000000003</v>
      </c>
      <c r="E20">
        <v>57.021999999999998</v>
      </c>
      <c r="F20">
        <v>33.692999999997802</v>
      </c>
      <c r="G20">
        <v>49.725166666666297</v>
      </c>
      <c r="H20">
        <v>2.512</v>
      </c>
      <c r="I20">
        <v>4.4533333333333998</v>
      </c>
      <c r="J20">
        <v>50.973999999998398</v>
      </c>
      <c r="K20">
        <v>1.41</v>
      </c>
      <c r="L20" t="s">
        <v>15</v>
      </c>
      <c r="M20">
        <v>0.1</v>
      </c>
      <c r="N20">
        <v>0.2</v>
      </c>
      <c r="O20" t="str">
        <f t="shared" si="0"/>
        <v>0.1,0.2</v>
      </c>
    </row>
    <row r="21" spans="1:15">
      <c r="A21">
        <v>18</v>
      </c>
      <c r="B21">
        <v>2</v>
      </c>
      <c r="C21">
        <v>1</v>
      </c>
      <c r="D21">
        <v>42.333999999999897</v>
      </c>
      <c r="E21">
        <v>58.67</v>
      </c>
      <c r="F21">
        <v>35.712888888888301</v>
      </c>
      <c r="G21">
        <v>52.5120000000015</v>
      </c>
      <c r="H21">
        <v>3.016</v>
      </c>
      <c r="I21">
        <v>3.9578888888889798</v>
      </c>
      <c r="J21">
        <v>50.521999999998499</v>
      </c>
      <c r="K21">
        <v>0.85</v>
      </c>
      <c r="L21" t="s">
        <v>15</v>
      </c>
      <c r="M21">
        <v>0.1</v>
      </c>
      <c r="N21">
        <v>0.2</v>
      </c>
      <c r="O21" t="str">
        <f t="shared" si="0"/>
        <v>0.1,0.2</v>
      </c>
    </row>
    <row r="22" spans="1:15">
      <c r="A22">
        <v>12</v>
      </c>
      <c r="B22">
        <v>1</v>
      </c>
      <c r="C22">
        <v>1</v>
      </c>
      <c r="D22">
        <v>38.965999999999298</v>
      </c>
      <c r="E22">
        <v>55.573999999999899</v>
      </c>
      <c r="F22">
        <v>31.489999999998101</v>
      </c>
      <c r="G22">
        <v>46.932166666665303</v>
      </c>
      <c r="H22">
        <v>3.008</v>
      </c>
      <c r="I22">
        <v>2.4851666666666898</v>
      </c>
      <c r="J22">
        <v>53.783999999999601</v>
      </c>
      <c r="K22">
        <v>0.54200000000000004</v>
      </c>
      <c r="L22" t="s">
        <v>16</v>
      </c>
      <c r="M22">
        <v>0.1</v>
      </c>
      <c r="N22">
        <v>0.2</v>
      </c>
      <c r="O22" t="str">
        <f t="shared" si="0"/>
        <v>0.1,0.2</v>
      </c>
    </row>
    <row r="23" spans="1:15">
      <c r="A23">
        <v>18</v>
      </c>
      <c r="B23">
        <v>1</v>
      </c>
      <c r="C23">
        <v>1</v>
      </c>
      <c r="D23">
        <v>41.625999999999102</v>
      </c>
      <c r="E23">
        <v>58.5579999999999</v>
      </c>
      <c r="F23">
        <v>33.852555555555199</v>
      </c>
      <c r="G23">
        <v>49.494444444444603</v>
      </c>
      <c r="H23">
        <v>3.5619999999999998</v>
      </c>
      <c r="I23">
        <v>2.2624444444444798</v>
      </c>
      <c r="J23">
        <v>52.543999999999102</v>
      </c>
      <c r="K23">
        <v>0.34</v>
      </c>
      <c r="L23" t="s">
        <v>16</v>
      </c>
      <c r="M23">
        <v>0.1</v>
      </c>
      <c r="N23">
        <v>0.2</v>
      </c>
      <c r="O23" t="str">
        <f t="shared" si="0"/>
        <v>0.1,0.2</v>
      </c>
    </row>
    <row r="24" spans="1:15">
      <c r="A24">
        <v>12</v>
      </c>
      <c r="B24">
        <v>2</v>
      </c>
      <c r="C24">
        <v>1</v>
      </c>
      <c r="D24">
        <v>39.049999999999699</v>
      </c>
      <c r="E24">
        <v>53.490000000000499</v>
      </c>
      <c r="F24">
        <v>31.751166666664801</v>
      </c>
      <c r="G24">
        <v>45.187833333333202</v>
      </c>
      <c r="H24">
        <v>2.9060000000000001</v>
      </c>
      <c r="I24">
        <v>2.6001666666666901</v>
      </c>
      <c r="J24">
        <v>53.4119999999998</v>
      </c>
      <c r="K24">
        <v>1.1839999999999999</v>
      </c>
      <c r="L24" t="s">
        <v>16</v>
      </c>
      <c r="M24">
        <v>0.1</v>
      </c>
      <c r="N24">
        <v>0.2</v>
      </c>
      <c r="O24" t="str">
        <f t="shared" si="0"/>
        <v>0.1,0.2</v>
      </c>
    </row>
    <row r="25" spans="1:15">
      <c r="A25">
        <v>18</v>
      </c>
      <c r="B25">
        <v>2</v>
      </c>
      <c r="C25">
        <v>1</v>
      </c>
      <c r="D25">
        <v>40.8359999999998</v>
      </c>
      <c r="E25">
        <v>56.0660000000005</v>
      </c>
      <c r="F25">
        <v>33.721999999999703</v>
      </c>
      <c r="G25">
        <v>48.2631111111126</v>
      </c>
      <c r="H25">
        <v>3.556</v>
      </c>
      <c r="I25">
        <v>2.3252222222222598</v>
      </c>
      <c r="J25">
        <v>52.633999999998899</v>
      </c>
      <c r="K25">
        <v>0.83199999999999996</v>
      </c>
      <c r="L25" t="s">
        <v>16</v>
      </c>
      <c r="M25">
        <v>0.1</v>
      </c>
      <c r="N25">
        <v>0.2</v>
      </c>
      <c r="O25" t="str">
        <f t="shared" si="0"/>
        <v>0.1,0.2</v>
      </c>
    </row>
    <row r="26" spans="1:15">
      <c r="A26">
        <v>12</v>
      </c>
      <c r="B26">
        <v>1</v>
      </c>
      <c r="C26">
        <v>1</v>
      </c>
      <c r="D26">
        <v>41.2579999999991</v>
      </c>
      <c r="E26">
        <v>58.272000000000297</v>
      </c>
      <c r="F26">
        <v>33.208666666664897</v>
      </c>
      <c r="G26">
        <v>49.352333333332503</v>
      </c>
      <c r="H26">
        <v>1.8080000000000001</v>
      </c>
      <c r="I26">
        <v>2.7601666666666902</v>
      </c>
      <c r="J26">
        <v>49.108000000000303</v>
      </c>
      <c r="K26">
        <v>0.628</v>
      </c>
      <c r="L26" t="s">
        <v>17</v>
      </c>
      <c r="M26">
        <v>0.1</v>
      </c>
      <c r="N26">
        <v>0.2</v>
      </c>
      <c r="O26" t="str">
        <f t="shared" si="0"/>
        <v>0.1,0.2</v>
      </c>
    </row>
    <row r="27" spans="1:15">
      <c r="A27">
        <v>18</v>
      </c>
      <c r="B27">
        <v>1</v>
      </c>
      <c r="C27">
        <v>1</v>
      </c>
      <c r="D27">
        <v>44.093999999999198</v>
      </c>
      <c r="E27">
        <v>61.3620000000003</v>
      </c>
      <c r="F27">
        <v>36.140555555555203</v>
      </c>
      <c r="G27">
        <v>52.678444444445297</v>
      </c>
      <c r="H27">
        <v>2.6840000000000002</v>
      </c>
      <c r="I27">
        <v>2.3061111111111501</v>
      </c>
      <c r="J27">
        <v>45.030000000000101</v>
      </c>
      <c r="K27">
        <v>0.39200000000000002</v>
      </c>
      <c r="L27" t="s">
        <v>17</v>
      </c>
      <c r="M27">
        <v>0.1</v>
      </c>
      <c r="N27">
        <v>0.2</v>
      </c>
      <c r="O27" t="str">
        <f t="shared" si="0"/>
        <v>0.1,0.2</v>
      </c>
    </row>
    <row r="28" spans="1:15">
      <c r="A28">
        <v>12</v>
      </c>
      <c r="B28">
        <v>2</v>
      </c>
      <c r="C28">
        <v>1</v>
      </c>
      <c r="D28">
        <v>41.021999999999501</v>
      </c>
      <c r="E28">
        <v>55.4860000000008</v>
      </c>
      <c r="F28">
        <v>33.0263333333316</v>
      </c>
      <c r="G28">
        <v>46.106333333333602</v>
      </c>
      <c r="H28">
        <v>1.788</v>
      </c>
      <c r="I28">
        <v>2.8585000000000198</v>
      </c>
      <c r="J28">
        <v>49.590000000000202</v>
      </c>
      <c r="K28">
        <v>1.3280000000000001</v>
      </c>
      <c r="L28" t="s">
        <v>17</v>
      </c>
      <c r="M28">
        <v>0.1</v>
      </c>
      <c r="N28">
        <v>0.2</v>
      </c>
      <c r="O28" t="str">
        <f t="shared" si="0"/>
        <v>0.1,0.2</v>
      </c>
    </row>
    <row r="29" spans="1:15">
      <c r="A29">
        <v>18</v>
      </c>
      <c r="B29">
        <v>2</v>
      </c>
      <c r="C29">
        <v>1</v>
      </c>
      <c r="D29">
        <v>43.061999999999301</v>
      </c>
      <c r="E29">
        <v>58.014000000000898</v>
      </c>
      <c r="F29">
        <v>34.948111111110798</v>
      </c>
      <c r="G29">
        <v>48.280111111112802</v>
      </c>
      <c r="H29">
        <v>2.6179999999999999</v>
      </c>
      <c r="I29">
        <v>2.38577777777782</v>
      </c>
      <c r="J29">
        <v>46.538000000000203</v>
      </c>
      <c r="K29">
        <v>0.91200000000000003</v>
      </c>
      <c r="L29" t="s">
        <v>17</v>
      </c>
      <c r="M29">
        <v>0.1</v>
      </c>
      <c r="N29">
        <v>0.2</v>
      </c>
      <c r="O29" t="str">
        <f t="shared" si="0"/>
        <v>0.1,0.2</v>
      </c>
    </row>
    <row r="30" spans="1:15">
      <c r="A30">
        <v>12</v>
      </c>
      <c r="B30">
        <v>1</v>
      </c>
      <c r="C30">
        <v>1</v>
      </c>
      <c r="D30">
        <v>43.849999999999199</v>
      </c>
      <c r="E30">
        <v>59.255999999999297</v>
      </c>
      <c r="F30">
        <v>35.414499999998299</v>
      </c>
      <c r="G30">
        <v>51.536499999998803</v>
      </c>
      <c r="H30">
        <v>1.238</v>
      </c>
      <c r="I30">
        <v>4.4803333333333804</v>
      </c>
      <c r="J30">
        <v>42.172000000000097</v>
      </c>
      <c r="K30">
        <v>0.88200000000000001</v>
      </c>
      <c r="L30" t="s">
        <v>11</v>
      </c>
      <c r="M30">
        <v>0.1</v>
      </c>
      <c r="N30">
        <v>0.3</v>
      </c>
      <c r="O30" t="str">
        <f t="shared" si="0"/>
        <v>0.1,0.3</v>
      </c>
    </row>
    <row r="31" spans="1:15">
      <c r="A31">
        <v>18</v>
      </c>
      <c r="B31">
        <v>1</v>
      </c>
      <c r="C31">
        <v>1</v>
      </c>
      <c r="D31">
        <v>46.467999999999201</v>
      </c>
      <c r="E31">
        <v>62.867999999999498</v>
      </c>
      <c r="F31">
        <v>38.5511111111106</v>
      </c>
      <c r="G31">
        <v>54.8554444444448</v>
      </c>
      <c r="H31">
        <v>1.476</v>
      </c>
      <c r="I31">
        <v>3.5195555555556601</v>
      </c>
      <c r="J31">
        <v>43.737999999999701</v>
      </c>
      <c r="K31">
        <v>0.56200000000000006</v>
      </c>
      <c r="L31" t="s">
        <v>11</v>
      </c>
      <c r="M31">
        <v>0.1</v>
      </c>
      <c r="N31">
        <v>0.3</v>
      </c>
      <c r="O31" t="str">
        <f t="shared" si="0"/>
        <v>0.1,0.3</v>
      </c>
    </row>
    <row r="32" spans="1:15">
      <c r="A32">
        <v>12</v>
      </c>
      <c r="B32">
        <v>2</v>
      </c>
      <c r="C32">
        <v>1</v>
      </c>
      <c r="D32">
        <v>42.663999999999596</v>
      </c>
      <c r="E32">
        <v>58.720000000000297</v>
      </c>
      <c r="F32">
        <v>34.796333333331198</v>
      </c>
      <c r="G32">
        <v>50.875333333333202</v>
      </c>
      <c r="H32">
        <v>1.1919999999999999</v>
      </c>
      <c r="I32">
        <v>4.7173333333334098</v>
      </c>
      <c r="J32">
        <v>49.101999999999201</v>
      </c>
      <c r="K32">
        <v>1.78999999999999</v>
      </c>
      <c r="L32" t="s">
        <v>11</v>
      </c>
      <c r="M32">
        <v>0.1</v>
      </c>
      <c r="N32">
        <v>0.3</v>
      </c>
      <c r="O32" t="str">
        <f t="shared" si="0"/>
        <v>0.1,0.3</v>
      </c>
    </row>
    <row r="33" spans="1:15">
      <c r="A33">
        <v>18</v>
      </c>
      <c r="B33">
        <v>2</v>
      </c>
      <c r="C33">
        <v>1</v>
      </c>
      <c r="D33">
        <v>44.995999999999299</v>
      </c>
      <c r="E33">
        <v>61.146000000000498</v>
      </c>
      <c r="F33">
        <v>38.012555555555203</v>
      </c>
      <c r="G33">
        <v>54.1468888888907</v>
      </c>
      <c r="H33">
        <v>1.5920000000000001</v>
      </c>
      <c r="I33">
        <v>3.8640000000000998</v>
      </c>
      <c r="J33">
        <v>47.505999999999197</v>
      </c>
      <c r="K33">
        <v>1.31</v>
      </c>
      <c r="L33" t="s">
        <v>11</v>
      </c>
      <c r="M33">
        <v>0.1</v>
      </c>
      <c r="N33">
        <v>0.3</v>
      </c>
      <c r="O33" t="str">
        <f t="shared" si="0"/>
        <v>0.1,0.3</v>
      </c>
    </row>
    <row r="34" spans="1:15">
      <c r="A34">
        <v>12</v>
      </c>
      <c r="B34">
        <v>1</v>
      </c>
      <c r="C34">
        <v>1</v>
      </c>
      <c r="D34">
        <v>43.3159999999992</v>
      </c>
      <c r="E34">
        <v>58.515999999999103</v>
      </c>
      <c r="F34">
        <v>35.521833333331202</v>
      </c>
      <c r="G34">
        <v>51.363166666664902</v>
      </c>
      <c r="H34">
        <v>1.268</v>
      </c>
      <c r="I34">
        <v>4.9585000000000496</v>
      </c>
      <c r="J34">
        <v>48.7739999999989</v>
      </c>
      <c r="K34">
        <v>0.72399999999999998</v>
      </c>
      <c r="L34" t="s">
        <v>12</v>
      </c>
      <c r="M34">
        <v>0.1</v>
      </c>
      <c r="N34">
        <v>0.3</v>
      </c>
      <c r="O34" t="str">
        <f t="shared" si="0"/>
        <v>0.1,0.3</v>
      </c>
    </row>
    <row r="35" spans="1:15">
      <c r="A35">
        <v>18</v>
      </c>
      <c r="B35">
        <v>1</v>
      </c>
      <c r="C35">
        <v>1</v>
      </c>
      <c r="D35">
        <v>45.721999999999099</v>
      </c>
      <c r="E35">
        <v>61.277999999999103</v>
      </c>
      <c r="F35">
        <v>38.453333333332999</v>
      </c>
      <c r="G35">
        <v>54.159111111111102</v>
      </c>
      <c r="H35">
        <v>1.6120000000000001</v>
      </c>
      <c r="I35">
        <v>4.2023333333334403</v>
      </c>
      <c r="J35">
        <v>47.033999999999203</v>
      </c>
      <c r="K35">
        <v>0.43</v>
      </c>
      <c r="L35" t="s">
        <v>12</v>
      </c>
      <c r="M35">
        <v>0.1</v>
      </c>
      <c r="N35">
        <v>0.3</v>
      </c>
      <c r="O35" t="str">
        <f t="shared" si="0"/>
        <v>0.1,0.3</v>
      </c>
    </row>
    <row r="36" spans="1:15">
      <c r="A36">
        <v>12</v>
      </c>
      <c r="B36">
        <v>2</v>
      </c>
      <c r="C36">
        <v>1</v>
      </c>
      <c r="D36">
        <v>42.685999999999801</v>
      </c>
      <c r="E36">
        <v>58.370000000000097</v>
      </c>
      <c r="F36">
        <v>35.032666666664603</v>
      </c>
      <c r="G36">
        <v>51.478333333333197</v>
      </c>
      <c r="H36">
        <v>1.26</v>
      </c>
      <c r="I36">
        <v>5.3861666666667203</v>
      </c>
      <c r="J36">
        <v>48.781999999998902</v>
      </c>
      <c r="K36">
        <v>2.0359999999999898</v>
      </c>
      <c r="L36" t="s">
        <v>12</v>
      </c>
      <c r="M36">
        <v>0.1</v>
      </c>
      <c r="N36">
        <v>0.3</v>
      </c>
      <c r="O36" t="str">
        <f t="shared" si="0"/>
        <v>0.1,0.3</v>
      </c>
    </row>
    <row r="37" spans="1:15">
      <c r="A37">
        <v>18</v>
      </c>
      <c r="B37">
        <v>2</v>
      </c>
      <c r="C37">
        <v>1</v>
      </c>
      <c r="D37">
        <v>44.645999999999603</v>
      </c>
      <c r="E37">
        <v>61.454000000000001</v>
      </c>
      <c r="F37">
        <v>37.683333333332897</v>
      </c>
      <c r="G37">
        <v>55.244444444446302</v>
      </c>
      <c r="H37">
        <v>1.696</v>
      </c>
      <c r="I37">
        <v>4.41477777777789</v>
      </c>
      <c r="J37">
        <v>47.297999999999199</v>
      </c>
      <c r="K37">
        <v>1.3540000000000001</v>
      </c>
      <c r="L37" t="s">
        <v>12</v>
      </c>
      <c r="M37">
        <v>0.1</v>
      </c>
      <c r="N37">
        <v>0.3</v>
      </c>
      <c r="O37" t="str">
        <f t="shared" si="0"/>
        <v>0.1,0.3</v>
      </c>
    </row>
    <row r="38" spans="1:15">
      <c r="A38">
        <v>12</v>
      </c>
      <c r="B38">
        <v>1</v>
      </c>
      <c r="C38">
        <v>1</v>
      </c>
      <c r="D38">
        <v>43.151999999999298</v>
      </c>
      <c r="E38">
        <v>59.779999999997997</v>
      </c>
      <c r="F38">
        <v>28.0749999999979</v>
      </c>
      <c r="G38">
        <v>44.196499999998103</v>
      </c>
      <c r="H38">
        <v>1.3959999999999999</v>
      </c>
      <c r="I38">
        <v>7.2461666666666797</v>
      </c>
      <c r="J38">
        <v>55.181999999997899</v>
      </c>
      <c r="K38">
        <v>0.97799999999999998</v>
      </c>
      <c r="L38" t="s">
        <v>13</v>
      </c>
      <c r="M38">
        <v>0.1</v>
      </c>
      <c r="N38">
        <v>0.3</v>
      </c>
      <c r="O38" t="str">
        <f t="shared" si="0"/>
        <v>0.1,0.3</v>
      </c>
    </row>
    <row r="39" spans="1:15">
      <c r="A39">
        <v>18</v>
      </c>
      <c r="B39">
        <v>1</v>
      </c>
      <c r="C39">
        <v>1</v>
      </c>
      <c r="D39">
        <v>44.809999999999199</v>
      </c>
      <c r="E39">
        <v>62.2479999999982</v>
      </c>
      <c r="F39">
        <v>30.638666666664601</v>
      </c>
      <c r="G39">
        <v>46.803666666665698</v>
      </c>
      <c r="H39">
        <v>1.788</v>
      </c>
      <c r="I39">
        <v>6.8496666666668702</v>
      </c>
      <c r="J39">
        <v>56.531999999998597</v>
      </c>
      <c r="K39">
        <v>0.55800000000000005</v>
      </c>
      <c r="L39" t="s">
        <v>13</v>
      </c>
      <c r="M39">
        <v>0.1</v>
      </c>
      <c r="N39">
        <v>0.3</v>
      </c>
      <c r="O39" t="str">
        <f t="shared" si="0"/>
        <v>0.1,0.3</v>
      </c>
    </row>
    <row r="40" spans="1:15">
      <c r="A40">
        <v>12</v>
      </c>
      <c r="B40">
        <v>2</v>
      </c>
      <c r="C40">
        <v>1</v>
      </c>
      <c r="D40">
        <v>42.788000000000103</v>
      </c>
      <c r="E40">
        <v>61.199999999999299</v>
      </c>
      <c r="F40">
        <v>29.1821666666646</v>
      </c>
      <c r="G40">
        <v>50.670499999998597</v>
      </c>
      <c r="H40">
        <v>1.502</v>
      </c>
      <c r="I40">
        <v>7.27233333333335</v>
      </c>
      <c r="J40">
        <v>53.013999999998198</v>
      </c>
      <c r="K40">
        <v>2.1979999999999902</v>
      </c>
      <c r="L40" t="s">
        <v>13</v>
      </c>
      <c r="M40">
        <v>0.1</v>
      </c>
      <c r="N40">
        <v>0.3</v>
      </c>
      <c r="O40" t="str">
        <f t="shared" si="0"/>
        <v>0.1,0.3</v>
      </c>
    </row>
    <row r="41" spans="1:15">
      <c r="A41">
        <v>18</v>
      </c>
      <c r="B41">
        <v>2</v>
      </c>
      <c r="C41">
        <v>1</v>
      </c>
      <c r="D41">
        <v>45.089999999999598</v>
      </c>
      <c r="E41">
        <v>64.139999999999404</v>
      </c>
      <c r="F41">
        <v>32.363333333331198</v>
      </c>
      <c r="G41">
        <v>55.499777777777801</v>
      </c>
      <c r="H41">
        <v>1.78</v>
      </c>
      <c r="I41">
        <v>6.9157777777779801</v>
      </c>
      <c r="J41">
        <v>53.665999999998903</v>
      </c>
      <c r="K41">
        <v>1.462</v>
      </c>
      <c r="L41" t="s">
        <v>13</v>
      </c>
      <c r="M41">
        <v>0.1</v>
      </c>
      <c r="N41">
        <v>0.3</v>
      </c>
      <c r="O41" t="str">
        <f t="shared" si="0"/>
        <v>0.1,0.3</v>
      </c>
    </row>
    <row r="42" spans="1:15">
      <c r="A42">
        <v>12</v>
      </c>
      <c r="B42">
        <v>1</v>
      </c>
      <c r="C42">
        <v>1</v>
      </c>
      <c r="D42">
        <v>44.019999999999101</v>
      </c>
      <c r="E42">
        <v>59.981999999999097</v>
      </c>
      <c r="F42">
        <v>34.410999999998097</v>
      </c>
      <c r="G42">
        <v>50.330999999998802</v>
      </c>
      <c r="H42">
        <v>1.306</v>
      </c>
      <c r="I42">
        <v>4.1380000000001003</v>
      </c>
      <c r="J42">
        <v>41.997999999999699</v>
      </c>
      <c r="K42">
        <v>0.998</v>
      </c>
      <c r="L42" t="s">
        <v>14</v>
      </c>
      <c r="M42">
        <v>0.1</v>
      </c>
      <c r="N42">
        <v>0.3</v>
      </c>
      <c r="O42" t="str">
        <f t="shared" si="0"/>
        <v>0.1,0.3</v>
      </c>
    </row>
    <row r="43" spans="1:15">
      <c r="A43">
        <v>18</v>
      </c>
      <c r="B43">
        <v>1</v>
      </c>
      <c r="C43">
        <v>1</v>
      </c>
      <c r="D43">
        <v>47.237999999998799</v>
      </c>
      <c r="E43">
        <v>64.075999999999695</v>
      </c>
      <c r="F43">
        <v>37.158555555555303</v>
      </c>
      <c r="G43">
        <v>53.3562222222222</v>
      </c>
      <c r="H43">
        <v>1.78</v>
      </c>
      <c r="I43">
        <v>3.3144444444445602</v>
      </c>
      <c r="J43">
        <v>39.309999999999597</v>
      </c>
      <c r="K43">
        <v>0.74399999999999999</v>
      </c>
      <c r="L43" t="s">
        <v>14</v>
      </c>
      <c r="M43">
        <v>0.1</v>
      </c>
      <c r="N43">
        <v>0.3</v>
      </c>
      <c r="O43" t="str">
        <f t="shared" si="0"/>
        <v>0.1,0.3</v>
      </c>
    </row>
    <row r="44" spans="1:15">
      <c r="A44">
        <v>12</v>
      </c>
      <c r="B44">
        <v>2</v>
      </c>
      <c r="C44">
        <v>1</v>
      </c>
      <c r="D44">
        <v>43.885999999999797</v>
      </c>
      <c r="E44">
        <v>62.669999999999803</v>
      </c>
      <c r="F44">
        <v>33.481499999998</v>
      </c>
      <c r="G44">
        <v>50.683833333332998</v>
      </c>
      <c r="H44">
        <v>1.268</v>
      </c>
      <c r="I44">
        <v>5.48750000000007</v>
      </c>
      <c r="J44">
        <v>41.497999999999799</v>
      </c>
      <c r="K44">
        <v>2.5999999999999801</v>
      </c>
      <c r="L44" t="s">
        <v>14</v>
      </c>
      <c r="M44">
        <v>0.1</v>
      </c>
      <c r="N44">
        <v>0.3</v>
      </c>
      <c r="O44" t="str">
        <f t="shared" si="0"/>
        <v>0.1,0.3</v>
      </c>
    </row>
    <row r="45" spans="1:15">
      <c r="A45">
        <v>18</v>
      </c>
      <c r="B45">
        <v>2</v>
      </c>
      <c r="C45">
        <v>1</v>
      </c>
      <c r="D45">
        <v>47.045999999999196</v>
      </c>
      <c r="E45">
        <v>66.094000000000406</v>
      </c>
      <c r="F45">
        <v>36.509555555554897</v>
      </c>
      <c r="G45">
        <v>53.356333333334099</v>
      </c>
      <c r="H45">
        <v>1.748</v>
      </c>
      <c r="I45">
        <v>4.3690000000001703</v>
      </c>
      <c r="J45">
        <v>37.522000000000098</v>
      </c>
      <c r="K45">
        <v>2.0939999999999901</v>
      </c>
      <c r="L45" t="s">
        <v>14</v>
      </c>
      <c r="M45">
        <v>0.1</v>
      </c>
      <c r="N45">
        <v>0.3</v>
      </c>
      <c r="O45" t="str">
        <f t="shared" si="0"/>
        <v>0.1,0.3</v>
      </c>
    </row>
    <row r="46" spans="1:15">
      <c r="A46">
        <v>12</v>
      </c>
      <c r="B46">
        <v>1</v>
      </c>
      <c r="C46">
        <v>1</v>
      </c>
      <c r="D46">
        <v>43.433999999999301</v>
      </c>
      <c r="E46">
        <v>59.1919999999987</v>
      </c>
      <c r="F46">
        <v>35.0109999999978</v>
      </c>
      <c r="G46">
        <v>51.178499999998202</v>
      </c>
      <c r="H46">
        <v>1.02</v>
      </c>
      <c r="I46">
        <v>6.22533333333336</v>
      </c>
      <c r="J46">
        <v>49.247999999998797</v>
      </c>
      <c r="K46">
        <v>0.76600000000000001</v>
      </c>
      <c r="L46" t="s">
        <v>15</v>
      </c>
      <c r="M46">
        <v>0.1</v>
      </c>
      <c r="N46">
        <v>0.3</v>
      </c>
      <c r="O46" t="str">
        <f t="shared" si="0"/>
        <v>0.1,0.3</v>
      </c>
    </row>
    <row r="47" spans="1:15">
      <c r="A47">
        <v>18</v>
      </c>
      <c r="B47">
        <v>1</v>
      </c>
      <c r="C47">
        <v>1</v>
      </c>
      <c r="D47">
        <v>45.363999999999201</v>
      </c>
      <c r="E47">
        <v>61.681999999998702</v>
      </c>
      <c r="F47">
        <v>37.492888888888203</v>
      </c>
      <c r="G47">
        <v>53.831666666666401</v>
      </c>
      <c r="H47">
        <v>1.228</v>
      </c>
      <c r="I47">
        <v>5.5155555555557001</v>
      </c>
      <c r="J47">
        <v>48.327999999999001</v>
      </c>
      <c r="K47">
        <v>0.49399999999999999</v>
      </c>
      <c r="L47" t="s">
        <v>15</v>
      </c>
      <c r="M47">
        <v>0.1</v>
      </c>
      <c r="N47">
        <v>0.3</v>
      </c>
      <c r="O47" t="str">
        <f t="shared" si="0"/>
        <v>0.1,0.3</v>
      </c>
    </row>
    <row r="48" spans="1:15">
      <c r="A48">
        <v>12</v>
      </c>
      <c r="B48">
        <v>2</v>
      </c>
      <c r="C48">
        <v>1</v>
      </c>
      <c r="D48">
        <v>43.151999999999902</v>
      </c>
      <c r="E48">
        <v>59.847999999999601</v>
      </c>
      <c r="F48">
        <v>34.903666666664598</v>
      </c>
      <c r="G48">
        <v>52.4686666666666</v>
      </c>
      <c r="H48">
        <v>1.1339999999999999</v>
      </c>
      <c r="I48">
        <v>6.6248333333333704</v>
      </c>
      <c r="J48">
        <v>48.729999999998903</v>
      </c>
      <c r="K48">
        <v>2.0779999999999901</v>
      </c>
      <c r="L48" t="s">
        <v>15</v>
      </c>
      <c r="M48">
        <v>0.1</v>
      </c>
      <c r="N48">
        <v>0.3</v>
      </c>
      <c r="O48" t="str">
        <f t="shared" si="0"/>
        <v>0.1,0.3</v>
      </c>
    </row>
    <row r="49" spans="1:15">
      <c r="A49">
        <v>18</v>
      </c>
      <c r="B49">
        <v>2</v>
      </c>
      <c r="C49">
        <v>1</v>
      </c>
      <c r="D49">
        <v>44.703999999999702</v>
      </c>
      <c r="E49">
        <v>62.035999999999603</v>
      </c>
      <c r="F49">
        <v>37.240999999999197</v>
      </c>
      <c r="G49">
        <v>56.011111111112697</v>
      </c>
      <c r="H49">
        <v>1.38</v>
      </c>
      <c r="I49">
        <v>5.8896666666668303</v>
      </c>
      <c r="J49">
        <v>47.879999999999001</v>
      </c>
      <c r="K49">
        <v>1.3660000000000001</v>
      </c>
      <c r="L49" t="s">
        <v>15</v>
      </c>
      <c r="M49">
        <v>0.1</v>
      </c>
      <c r="N49">
        <v>0.3</v>
      </c>
      <c r="O49" t="str">
        <f t="shared" si="0"/>
        <v>0.1,0.3</v>
      </c>
    </row>
    <row r="50" spans="1:15">
      <c r="A50">
        <v>12</v>
      </c>
      <c r="B50">
        <v>1</v>
      </c>
      <c r="C50">
        <v>1</v>
      </c>
      <c r="D50">
        <v>42.511999999999098</v>
      </c>
      <c r="E50">
        <v>57.913999999999398</v>
      </c>
      <c r="F50">
        <v>33.527833333331301</v>
      </c>
      <c r="G50">
        <v>47.943833333331497</v>
      </c>
      <c r="H50">
        <v>1.3879999999999999</v>
      </c>
      <c r="I50">
        <v>3.52950000000004</v>
      </c>
      <c r="J50">
        <v>51.129999999998802</v>
      </c>
      <c r="K50">
        <v>0.68799999999999994</v>
      </c>
      <c r="L50" t="s">
        <v>16</v>
      </c>
      <c r="M50">
        <v>0.1</v>
      </c>
      <c r="N50">
        <v>0.3</v>
      </c>
      <c r="O50" t="str">
        <f t="shared" si="0"/>
        <v>0.1,0.3</v>
      </c>
    </row>
    <row r="51" spans="1:15">
      <c r="A51">
        <v>18</v>
      </c>
      <c r="B51">
        <v>1</v>
      </c>
      <c r="C51">
        <v>1</v>
      </c>
      <c r="D51">
        <v>44.475999999998997</v>
      </c>
      <c r="E51">
        <v>60.489999999999299</v>
      </c>
      <c r="F51">
        <v>36.029666666666202</v>
      </c>
      <c r="G51">
        <v>50.739111111110802</v>
      </c>
      <c r="H51">
        <v>1.67</v>
      </c>
      <c r="I51">
        <v>3.2436666666667202</v>
      </c>
      <c r="J51">
        <v>49.909999999998597</v>
      </c>
      <c r="K51">
        <v>0.40200000000000002</v>
      </c>
      <c r="L51" t="s">
        <v>16</v>
      </c>
      <c r="M51">
        <v>0.1</v>
      </c>
      <c r="N51">
        <v>0.3</v>
      </c>
      <c r="O51" t="str">
        <f t="shared" si="0"/>
        <v>0.1,0.3</v>
      </c>
    </row>
    <row r="52" spans="1:15">
      <c r="A52">
        <v>12</v>
      </c>
      <c r="B52">
        <v>2</v>
      </c>
      <c r="C52">
        <v>1</v>
      </c>
      <c r="D52">
        <v>41.933999999999799</v>
      </c>
      <c r="E52">
        <v>57.748000000000197</v>
      </c>
      <c r="F52">
        <v>33.563499999998101</v>
      </c>
      <c r="G52">
        <v>48.471333333333298</v>
      </c>
      <c r="H52">
        <v>1.498</v>
      </c>
      <c r="I52">
        <v>3.6541666666667001</v>
      </c>
      <c r="J52">
        <v>50.721999999998701</v>
      </c>
      <c r="K52">
        <v>1.9219999999999899</v>
      </c>
      <c r="L52" t="s">
        <v>16</v>
      </c>
      <c r="M52">
        <v>0.1</v>
      </c>
      <c r="N52">
        <v>0.3</v>
      </c>
      <c r="O52" t="str">
        <f t="shared" si="0"/>
        <v>0.1,0.3</v>
      </c>
    </row>
    <row r="53" spans="1:15">
      <c r="A53">
        <v>18</v>
      </c>
      <c r="B53">
        <v>2</v>
      </c>
      <c r="C53">
        <v>1</v>
      </c>
      <c r="D53">
        <v>44.171999999999699</v>
      </c>
      <c r="E53">
        <v>60.800000000000097</v>
      </c>
      <c r="F53">
        <v>36.208888888888303</v>
      </c>
      <c r="G53">
        <v>52.5510000000018</v>
      </c>
      <c r="H53">
        <v>1.788</v>
      </c>
      <c r="I53">
        <v>3.4475555555556099</v>
      </c>
      <c r="J53">
        <v>49.099999999998801</v>
      </c>
      <c r="K53">
        <v>1.3120000000000001</v>
      </c>
      <c r="L53" t="s">
        <v>16</v>
      </c>
      <c r="M53">
        <v>0.1</v>
      </c>
      <c r="N53">
        <v>0.3</v>
      </c>
      <c r="O53" t="str">
        <f t="shared" si="0"/>
        <v>0.1,0.3</v>
      </c>
    </row>
    <row r="54" spans="1:15">
      <c r="A54">
        <v>12</v>
      </c>
      <c r="B54">
        <v>1</v>
      </c>
      <c r="C54">
        <v>1</v>
      </c>
      <c r="D54">
        <v>42.627999999999197</v>
      </c>
      <c r="E54">
        <v>57.762</v>
      </c>
      <c r="F54">
        <v>34.2449999999982</v>
      </c>
      <c r="G54">
        <v>48.629999999998802</v>
      </c>
      <c r="H54">
        <v>1.468</v>
      </c>
      <c r="I54">
        <v>2.64283333333334</v>
      </c>
      <c r="J54">
        <v>48.398000000000401</v>
      </c>
      <c r="K54">
        <v>0.68400000000000005</v>
      </c>
      <c r="L54" t="s">
        <v>17</v>
      </c>
      <c r="M54">
        <v>0.1</v>
      </c>
      <c r="N54">
        <v>0.3</v>
      </c>
      <c r="O54" t="str">
        <f t="shared" si="0"/>
        <v>0.1,0.3</v>
      </c>
    </row>
    <row r="55" spans="1:15">
      <c r="A55">
        <v>18</v>
      </c>
      <c r="B55">
        <v>1</v>
      </c>
      <c r="C55">
        <v>1</v>
      </c>
      <c r="D55">
        <v>45.271999999999302</v>
      </c>
      <c r="E55">
        <v>61.008000000000003</v>
      </c>
      <c r="F55">
        <v>37.152777777777501</v>
      </c>
      <c r="G55">
        <v>52.099111111111597</v>
      </c>
      <c r="H55">
        <v>2.028</v>
      </c>
      <c r="I55">
        <v>2.2613333333333601</v>
      </c>
      <c r="J55">
        <v>44.932000000000201</v>
      </c>
      <c r="K55">
        <v>0.432</v>
      </c>
      <c r="L55" t="s">
        <v>17</v>
      </c>
      <c r="M55">
        <v>0.1</v>
      </c>
      <c r="N55">
        <v>0.3</v>
      </c>
      <c r="O55" t="str">
        <f t="shared" si="0"/>
        <v>0.1,0.3</v>
      </c>
    </row>
    <row r="56" spans="1:15">
      <c r="A56">
        <v>12</v>
      </c>
      <c r="B56">
        <v>2</v>
      </c>
      <c r="C56">
        <v>1</v>
      </c>
      <c r="D56">
        <v>41.821999999999399</v>
      </c>
      <c r="E56">
        <v>56.600000000000797</v>
      </c>
      <c r="F56">
        <v>33.566333333331698</v>
      </c>
      <c r="G56">
        <v>46.655666666666903</v>
      </c>
      <c r="H56">
        <v>1.5780000000000001</v>
      </c>
      <c r="I56">
        <v>2.6563333333333401</v>
      </c>
      <c r="J56">
        <v>49.300000000000303</v>
      </c>
      <c r="K56">
        <v>1.6719999999999899</v>
      </c>
      <c r="L56" t="s">
        <v>17</v>
      </c>
      <c r="M56">
        <v>0.1</v>
      </c>
      <c r="N56">
        <v>0.3</v>
      </c>
      <c r="O56" t="str">
        <f t="shared" si="0"/>
        <v>0.1,0.3</v>
      </c>
    </row>
    <row r="57" spans="1:15">
      <c r="A57">
        <v>18</v>
      </c>
      <c r="B57">
        <v>2</v>
      </c>
      <c r="C57">
        <v>1</v>
      </c>
      <c r="D57">
        <v>44.485999999999201</v>
      </c>
      <c r="E57">
        <v>59.830000000000901</v>
      </c>
      <c r="F57">
        <v>36.172111111110802</v>
      </c>
      <c r="G57">
        <v>49.7863333333352</v>
      </c>
      <c r="H57">
        <v>2.028</v>
      </c>
      <c r="I57">
        <v>2.33422222222225</v>
      </c>
      <c r="J57">
        <v>46.058</v>
      </c>
      <c r="K57">
        <v>1.3140000000000001</v>
      </c>
      <c r="L57" t="s">
        <v>17</v>
      </c>
      <c r="M57">
        <v>0.1</v>
      </c>
      <c r="N57">
        <v>0.3</v>
      </c>
      <c r="O57" t="str">
        <f t="shared" si="0"/>
        <v>0.1,0.3</v>
      </c>
    </row>
    <row r="58" spans="1:15">
      <c r="A58">
        <v>12</v>
      </c>
      <c r="B58">
        <v>1</v>
      </c>
      <c r="C58">
        <v>1</v>
      </c>
      <c r="D58">
        <v>44.631999999999302</v>
      </c>
      <c r="E58">
        <v>58.983999999999298</v>
      </c>
      <c r="F58">
        <v>35.132999999998503</v>
      </c>
      <c r="G58">
        <v>49.522666666665501</v>
      </c>
      <c r="H58">
        <v>1.278</v>
      </c>
      <c r="I58">
        <v>3.5756666666667298</v>
      </c>
      <c r="J58">
        <v>41.228000000000002</v>
      </c>
      <c r="K58">
        <v>0.85599999999999998</v>
      </c>
      <c r="L58" t="s">
        <v>11</v>
      </c>
      <c r="M58">
        <v>0.1</v>
      </c>
      <c r="N58">
        <v>0.4</v>
      </c>
      <c r="O58" t="str">
        <f t="shared" si="0"/>
        <v>0.1,0.4</v>
      </c>
    </row>
    <row r="59" spans="1:15">
      <c r="A59">
        <v>18</v>
      </c>
      <c r="B59">
        <v>1</v>
      </c>
      <c r="C59">
        <v>1</v>
      </c>
      <c r="D59">
        <v>47.913999999999398</v>
      </c>
      <c r="E59">
        <v>62.427999999999599</v>
      </c>
      <c r="F59">
        <v>38.363222222221701</v>
      </c>
      <c r="G59">
        <v>52.816000000000201</v>
      </c>
      <c r="H59">
        <v>1.6</v>
      </c>
      <c r="I59">
        <v>2.9123333333333901</v>
      </c>
      <c r="J59">
        <v>42.557999999999801</v>
      </c>
      <c r="K59">
        <v>0.57599999999999996</v>
      </c>
      <c r="L59" t="s">
        <v>11</v>
      </c>
      <c r="M59">
        <v>0.1</v>
      </c>
      <c r="N59">
        <v>0.4</v>
      </c>
      <c r="O59" t="str">
        <f t="shared" si="0"/>
        <v>0.1,0.4</v>
      </c>
    </row>
    <row r="60" spans="1:15">
      <c r="A60">
        <v>12</v>
      </c>
      <c r="B60">
        <v>2</v>
      </c>
      <c r="C60">
        <v>1</v>
      </c>
      <c r="D60">
        <v>43.041999999999497</v>
      </c>
      <c r="E60">
        <v>58.612000000000599</v>
      </c>
      <c r="F60">
        <v>34.649833333331301</v>
      </c>
      <c r="G60">
        <v>49.366500000000002</v>
      </c>
      <c r="H60">
        <v>1.234</v>
      </c>
      <c r="I60">
        <v>3.6378333333333899</v>
      </c>
      <c r="J60">
        <v>50.159999999999798</v>
      </c>
      <c r="K60">
        <v>2.0239999999999898</v>
      </c>
      <c r="L60" t="s">
        <v>11</v>
      </c>
      <c r="M60">
        <v>0.1</v>
      </c>
      <c r="N60">
        <v>0.4</v>
      </c>
      <c r="O60" t="str">
        <f t="shared" si="0"/>
        <v>0.1,0.4</v>
      </c>
    </row>
    <row r="61" spans="1:15">
      <c r="A61">
        <v>18</v>
      </c>
      <c r="B61">
        <v>2</v>
      </c>
      <c r="C61">
        <v>1</v>
      </c>
      <c r="D61">
        <v>44.859999999999303</v>
      </c>
      <c r="E61">
        <v>61.052000000000398</v>
      </c>
      <c r="F61">
        <v>37.212999999999603</v>
      </c>
      <c r="G61">
        <v>52.772888888890797</v>
      </c>
      <c r="H61">
        <v>1.524</v>
      </c>
      <c r="I61">
        <v>3.2306666666667399</v>
      </c>
      <c r="J61">
        <v>48.1439999999996</v>
      </c>
      <c r="K61">
        <v>1.51599999999999</v>
      </c>
      <c r="L61" t="s">
        <v>11</v>
      </c>
      <c r="M61">
        <v>0.1</v>
      </c>
      <c r="N61">
        <v>0.4</v>
      </c>
      <c r="O61" t="str">
        <f t="shared" si="0"/>
        <v>0.1,0.4</v>
      </c>
    </row>
    <row r="62" spans="1:15">
      <c r="A62">
        <v>12</v>
      </c>
      <c r="B62">
        <v>1</v>
      </c>
      <c r="C62">
        <v>1</v>
      </c>
      <c r="D62">
        <v>43.557999999999403</v>
      </c>
      <c r="E62">
        <v>57.703999999999198</v>
      </c>
      <c r="F62">
        <v>35.145499999998002</v>
      </c>
      <c r="G62">
        <v>49.096166666664701</v>
      </c>
      <c r="H62">
        <v>1.278</v>
      </c>
      <c r="I62">
        <v>3.9586666666667201</v>
      </c>
      <c r="J62">
        <v>49.057999999998998</v>
      </c>
      <c r="K62">
        <v>0.70799999999999996</v>
      </c>
      <c r="L62" t="s">
        <v>12</v>
      </c>
      <c r="M62">
        <v>0.1</v>
      </c>
      <c r="N62">
        <v>0.4</v>
      </c>
      <c r="O62" t="str">
        <f t="shared" si="0"/>
        <v>0.1,0.4</v>
      </c>
    </row>
    <row r="63" spans="1:15">
      <c r="A63">
        <v>18</v>
      </c>
      <c r="B63">
        <v>1</v>
      </c>
      <c r="C63">
        <v>1</v>
      </c>
      <c r="D63">
        <v>45.869999999999202</v>
      </c>
      <c r="E63">
        <v>60.287999999999002</v>
      </c>
      <c r="F63">
        <v>37.991888888888703</v>
      </c>
      <c r="G63">
        <v>51.914444444444399</v>
      </c>
      <c r="H63">
        <v>1.6319999999999999</v>
      </c>
      <c r="I63">
        <v>3.7375555555556401</v>
      </c>
      <c r="J63">
        <v>47.4899999999991</v>
      </c>
      <c r="K63">
        <v>0.47799999999999998</v>
      </c>
      <c r="L63" t="s">
        <v>12</v>
      </c>
      <c r="M63">
        <v>0.1</v>
      </c>
      <c r="N63">
        <v>0.4</v>
      </c>
      <c r="O63" t="str">
        <f t="shared" si="0"/>
        <v>0.1,0.4</v>
      </c>
    </row>
    <row r="64" spans="1:15">
      <c r="A64">
        <v>12</v>
      </c>
      <c r="B64">
        <v>2</v>
      </c>
      <c r="C64">
        <v>1</v>
      </c>
      <c r="D64">
        <v>42.809999999999803</v>
      </c>
      <c r="E64">
        <v>58.857999999999997</v>
      </c>
      <c r="F64">
        <v>34.575666666664603</v>
      </c>
      <c r="G64">
        <v>50.311666666666703</v>
      </c>
      <c r="H64">
        <v>1.3480000000000001</v>
      </c>
      <c r="I64">
        <v>4.34850000000006</v>
      </c>
      <c r="J64">
        <v>49.031999999998803</v>
      </c>
      <c r="K64">
        <v>2.3279999999999799</v>
      </c>
      <c r="L64" t="s">
        <v>12</v>
      </c>
      <c r="M64">
        <v>0.1</v>
      </c>
      <c r="N64">
        <v>0.4</v>
      </c>
      <c r="O64" t="str">
        <f t="shared" si="0"/>
        <v>0.1,0.4</v>
      </c>
    </row>
    <row r="65" spans="1:15">
      <c r="A65">
        <v>18</v>
      </c>
      <c r="B65">
        <v>2</v>
      </c>
      <c r="C65">
        <v>1</v>
      </c>
      <c r="D65">
        <v>44.955999999999598</v>
      </c>
      <c r="E65">
        <v>61.7259999999998</v>
      </c>
      <c r="F65">
        <v>37.283111111110699</v>
      </c>
      <c r="G65">
        <v>53.953666666668603</v>
      </c>
      <c r="H65">
        <v>1.714</v>
      </c>
      <c r="I65">
        <v>3.9061111111111901</v>
      </c>
      <c r="J65">
        <v>47.459999999999098</v>
      </c>
      <c r="K65">
        <v>1.6579999999999899</v>
      </c>
      <c r="L65" t="s">
        <v>12</v>
      </c>
      <c r="M65">
        <v>0.1</v>
      </c>
      <c r="N65">
        <v>0.4</v>
      </c>
      <c r="O65" t="str">
        <f t="shared" si="0"/>
        <v>0.1,0.4</v>
      </c>
    </row>
    <row r="66" spans="1:15">
      <c r="A66">
        <v>12</v>
      </c>
      <c r="B66">
        <v>1</v>
      </c>
      <c r="C66">
        <v>1</v>
      </c>
      <c r="D66">
        <v>41.893999999999103</v>
      </c>
      <c r="E66">
        <v>56.717999999999101</v>
      </c>
      <c r="F66">
        <v>27.217333333331499</v>
      </c>
      <c r="G66">
        <v>40.637499999998099</v>
      </c>
      <c r="H66">
        <v>1.448</v>
      </c>
      <c r="I66">
        <v>4.8155000000000197</v>
      </c>
      <c r="J66">
        <v>55.761999999997499</v>
      </c>
      <c r="K66">
        <v>0.65800000000000003</v>
      </c>
      <c r="L66" t="s">
        <v>13</v>
      </c>
      <c r="M66">
        <v>0.1</v>
      </c>
      <c r="N66">
        <v>0.4</v>
      </c>
      <c r="O66" t="str">
        <f t="shared" si="0"/>
        <v>0.1,0.4</v>
      </c>
    </row>
    <row r="67" spans="1:15">
      <c r="A67">
        <v>18</v>
      </c>
      <c r="B67">
        <v>1</v>
      </c>
      <c r="C67">
        <v>1</v>
      </c>
      <c r="D67">
        <v>45.5359999999989</v>
      </c>
      <c r="E67">
        <v>60.519999999998397</v>
      </c>
      <c r="F67">
        <v>30.0072222222202</v>
      </c>
      <c r="G67">
        <v>43.315888888887997</v>
      </c>
      <c r="H67">
        <v>1.752</v>
      </c>
      <c r="I67">
        <v>5.1414444444445504</v>
      </c>
      <c r="J67">
        <v>53.771999999998002</v>
      </c>
      <c r="K67">
        <v>0.41399999999999998</v>
      </c>
      <c r="L67" t="s">
        <v>13</v>
      </c>
      <c r="M67">
        <v>0.1</v>
      </c>
      <c r="N67">
        <v>0.4</v>
      </c>
      <c r="O67" t="str">
        <f t="shared" ref="O67:O130" si="1">M67&amp;","&amp;N67</f>
        <v>0.1,0.4</v>
      </c>
    </row>
    <row r="68" spans="1:15">
      <c r="A68">
        <v>12</v>
      </c>
      <c r="B68">
        <v>2</v>
      </c>
      <c r="C68">
        <v>1</v>
      </c>
      <c r="D68">
        <v>41.729999999999798</v>
      </c>
      <c r="E68">
        <v>59.300000000000097</v>
      </c>
      <c r="F68">
        <v>28.8781666666648</v>
      </c>
      <c r="G68">
        <v>48.204166666665401</v>
      </c>
      <c r="H68">
        <v>1.448</v>
      </c>
      <c r="I68">
        <v>4.7331666666666896</v>
      </c>
      <c r="J68">
        <v>52.987999999998102</v>
      </c>
      <c r="K68">
        <v>2.1359999999999899</v>
      </c>
      <c r="L68" t="s">
        <v>13</v>
      </c>
      <c r="M68">
        <v>0.1</v>
      </c>
      <c r="N68">
        <v>0.4</v>
      </c>
      <c r="O68" t="str">
        <f t="shared" si="1"/>
        <v>0.1,0.4</v>
      </c>
    </row>
    <row r="69" spans="1:15">
      <c r="A69">
        <v>18</v>
      </c>
      <c r="B69">
        <v>2</v>
      </c>
      <c r="C69">
        <v>1</v>
      </c>
      <c r="D69">
        <v>45.293999999999599</v>
      </c>
      <c r="E69">
        <v>63.473999999999698</v>
      </c>
      <c r="F69">
        <v>31.865999999998198</v>
      </c>
      <c r="G69">
        <v>53.255333333333702</v>
      </c>
      <c r="H69">
        <v>1.8340000000000001</v>
      </c>
      <c r="I69">
        <v>5.2908888888890004</v>
      </c>
      <c r="J69">
        <v>50.353999999998599</v>
      </c>
      <c r="K69">
        <v>1.5840000000000001</v>
      </c>
      <c r="L69" t="s">
        <v>13</v>
      </c>
      <c r="M69">
        <v>0.1</v>
      </c>
      <c r="N69">
        <v>0.4</v>
      </c>
      <c r="O69" t="str">
        <f t="shared" si="1"/>
        <v>0.1,0.4</v>
      </c>
    </row>
    <row r="70" spans="1:15">
      <c r="A70">
        <v>12</v>
      </c>
      <c r="B70">
        <v>1</v>
      </c>
      <c r="C70">
        <v>1</v>
      </c>
      <c r="D70">
        <v>43.371999999999296</v>
      </c>
      <c r="E70">
        <v>58.047999999999597</v>
      </c>
      <c r="F70">
        <v>33.213666666665098</v>
      </c>
      <c r="G70">
        <v>47.154499999998798</v>
      </c>
      <c r="H70">
        <v>1.3340000000000001</v>
      </c>
      <c r="I70">
        <v>3.0161666666667202</v>
      </c>
      <c r="J70">
        <v>44.101999999999997</v>
      </c>
      <c r="K70">
        <v>1.0620000000000001</v>
      </c>
      <c r="L70" t="s">
        <v>14</v>
      </c>
      <c r="M70">
        <v>0.1</v>
      </c>
      <c r="N70">
        <v>0.4</v>
      </c>
      <c r="O70" t="str">
        <f t="shared" si="1"/>
        <v>0.1,0.4</v>
      </c>
    </row>
    <row r="71" spans="1:15">
      <c r="A71">
        <v>18</v>
      </c>
      <c r="B71">
        <v>1</v>
      </c>
      <c r="C71">
        <v>1</v>
      </c>
      <c r="D71">
        <v>47.173999999999303</v>
      </c>
      <c r="E71">
        <v>62.133999999999901</v>
      </c>
      <c r="F71">
        <v>36.282000000000302</v>
      </c>
      <c r="G71">
        <v>50.388666666666602</v>
      </c>
      <c r="H71">
        <v>1.88</v>
      </c>
      <c r="I71">
        <v>2.49977777777785</v>
      </c>
      <c r="J71">
        <v>40.921999999999898</v>
      </c>
      <c r="K71">
        <v>0.76600000000000001</v>
      </c>
      <c r="L71" t="s">
        <v>14</v>
      </c>
      <c r="M71">
        <v>0.1</v>
      </c>
      <c r="N71">
        <v>0.4</v>
      </c>
      <c r="O71" t="str">
        <f t="shared" si="1"/>
        <v>0.1,0.4</v>
      </c>
    </row>
    <row r="72" spans="1:15">
      <c r="A72">
        <v>12</v>
      </c>
      <c r="B72">
        <v>2</v>
      </c>
      <c r="C72">
        <v>1</v>
      </c>
      <c r="D72">
        <v>43.815999999999697</v>
      </c>
      <c r="E72">
        <v>62.018000000000001</v>
      </c>
      <c r="F72">
        <v>32.990666666665</v>
      </c>
      <c r="G72">
        <v>48.825666666666699</v>
      </c>
      <c r="H72">
        <v>1.4319999999999999</v>
      </c>
      <c r="I72">
        <v>4.19900000000011</v>
      </c>
      <c r="J72">
        <v>43.614000000000097</v>
      </c>
      <c r="K72">
        <v>2.7879999999999701</v>
      </c>
      <c r="L72" t="s">
        <v>14</v>
      </c>
      <c r="M72">
        <v>0.1</v>
      </c>
      <c r="N72">
        <v>0.4</v>
      </c>
      <c r="O72" t="str">
        <f t="shared" si="1"/>
        <v>0.1,0.4</v>
      </c>
    </row>
    <row r="73" spans="1:15">
      <c r="A73">
        <v>18</v>
      </c>
      <c r="B73">
        <v>2</v>
      </c>
      <c r="C73">
        <v>1</v>
      </c>
      <c r="D73">
        <v>46.697999999999297</v>
      </c>
      <c r="E73">
        <v>65.604000000000298</v>
      </c>
      <c r="F73">
        <v>35.858555555555299</v>
      </c>
      <c r="G73">
        <v>51.817000000000903</v>
      </c>
      <c r="H73">
        <v>1.742</v>
      </c>
      <c r="I73">
        <v>3.6027777777779102</v>
      </c>
      <c r="J73">
        <v>38.549999999999898</v>
      </c>
      <c r="K73">
        <v>2.20399999999999</v>
      </c>
      <c r="L73" t="s">
        <v>14</v>
      </c>
      <c r="M73">
        <v>0.1</v>
      </c>
      <c r="N73">
        <v>0.4</v>
      </c>
      <c r="O73" t="str">
        <f t="shared" si="1"/>
        <v>0.1,0.4</v>
      </c>
    </row>
    <row r="74" spans="1:15">
      <c r="A74">
        <v>12</v>
      </c>
      <c r="B74">
        <v>1</v>
      </c>
      <c r="C74">
        <v>1</v>
      </c>
      <c r="D74">
        <v>44.615999999999197</v>
      </c>
      <c r="E74">
        <v>58.729999999998597</v>
      </c>
      <c r="F74">
        <v>34.837166666664601</v>
      </c>
      <c r="G74">
        <v>49.523833333331503</v>
      </c>
      <c r="H74">
        <v>1.0780000000000001</v>
      </c>
      <c r="I74">
        <v>5.9066666666666903</v>
      </c>
      <c r="J74">
        <v>48.827999999998902</v>
      </c>
      <c r="K74">
        <v>0.77200000000000002</v>
      </c>
      <c r="L74" t="s">
        <v>15</v>
      </c>
      <c r="M74">
        <v>0.1</v>
      </c>
      <c r="N74">
        <v>0.4</v>
      </c>
      <c r="O74" t="str">
        <f t="shared" si="1"/>
        <v>0.1,0.4</v>
      </c>
    </row>
    <row r="75" spans="1:15">
      <c r="A75">
        <v>18</v>
      </c>
      <c r="B75">
        <v>1</v>
      </c>
      <c r="C75">
        <v>1</v>
      </c>
      <c r="D75">
        <v>46.627999999998998</v>
      </c>
      <c r="E75">
        <v>61.125999999998399</v>
      </c>
      <c r="F75">
        <v>37.433555555555003</v>
      </c>
      <c r="G75">
        <v>52.010222222222097</v>
      </c>
      <c r="H75">
        <v>1.3220000000000001</v>
      </c>
      <c r="I75">
        <v>5.51144444444457</v>
      </c>
      <c r="J75">
        <v>47.167999999999203</v>
      </c>
      <c r="K75">
        <v>0.48</v>
      </c>
      <c r="L75" t="s">
        <v>15</v>
      </c>
      <c r="M75">
        <v>0.1</v>
      </c>
      <c r="N75">
        <v>0.4</v>
      </c>
      <c r="O75" t="str">
        <f t="shared" si="1"/>
        <v>0.1,0.4</v>
      </c>
    </row>
    <row r="76" spans="1:15">
      <c r="A76">
        <v>12</v>
      </c>
      <c r="B76">
        <v>2</v>
      </c>
      <c r="C76">
        <v>1</v>
      </c>
      <c r="D76">
        <v>43.8719999999999</v>
      </c>
      <c r="E76">
        <v>60.889999999999098</v>
      </c>
      <c r="F76">
        <v>34.552666666664599</v>
      </c>
      <c r="G76">
        <v>52.265500000000003</v>
      </c>
      <c r="H76">
        <v>1.1599999999999999</v>
      </c>
      <c r="I76">
        <v>6.6408333333333402</v>
      </c>
      <c r="J76">
        <v>48.077999999999001</v>
      </c>
      <c r="K76">
        <v>2.69599999999997</v>
      </c>
      <c r="L76" t="s">
        <v>15</v>
      </c>
      <c r="M76">
        <v>0.1</v>
      </c>
      <c r="N76">
        <v>0.4</v>
      </c>
      <c r="O76" t="str">
        <f t="shared" si="1"/>
        <v>0.1,0.4</v>
      </c>
    </row>
    <row r="77" spans="1:15">
      <c r="A77">
        <v>18</v>
      </c>
      <c r="B77">
        <v>2</v>
      </c>
      <c r="C77">
        <v>1</v>
      </c>
      <c r="D77">
        <v>45.717999999999499</v>
      </c>
      <c r="E77">
        <v>62.873999999999398</v>
      </c>
      <c r="F77">
        <v>36.9933333333327</v>
      </c>
      <c r="G77">
        <v>55.552444444446401</v>
      </c>
      <c r="H77">
        <v>1.4039999999999999</v>
      </c>
      <c r="I77">
        <v>6.0955555555556904</v>
      </c>
      <c r="J77">
        <v>46.305999999999401</v>
      </c>
      <c r="K77">
        <v>1.79399999999999</v>
      </c>
      <c r="L77" t="s">
        <v>15</v>
      </c>
      <c r="M77">
        <v>0.1</v>
      </c>
      <c r="N77">
        <v>0.4</v>
      </c>
      <c r="O77" t="str">
        <f t="shared" si="1"/>
        <v>0.1,0.4</v>
      </c>
    </row>
    <row r="78" spans="1:15">
      <c r="A78">
        <v>12</v>
      </c>
      <c r="B78">
        <v>1</v>
      </c>
      <c r="C78">
        <v>1</v>
      </c>
      <c r="D78">
        <v>43.763999999999299</v>
      </c>
      <c r="E78">
        <v>57.817999999999003</v>
      </c>
      <c r="F78">
        <v>34.521999999998002</v>
      </c>
      <c r="G78">
        <v>48.316166666664699</v>
      </c>
      <c r="H78">
        <v>1.206</v>
      </c>
      <c r="I78">
        <v>4.3251666666666999</v>
      </c>
      <c r="J78">
        <v>49.931999999998602</v>
      </c>
      <c r="K78">
        <v>0.68799999999999994</v>
      </c>
      <c r="L78" t="s">
        <v>16</v>
      </c>
      <c r="M78">
        <v>0.1</v>
      </c>
      <c r="N78">
        <v>0.4</v>
      </c>
      <c r="O78" t="str">
        <f t="shared" si="1"/>
        <v>0.1,0.4</v>
      </c>
    </row>
    <row r="79" spans="1:15">
      <c r="A79">
        <v>18</v>
      </c>
      <c r="B79">
        <v>1</v>
      </c>
      <c r="C79">
        <v>1</v>
      </c>
      <c r="D79">
        <v>46.327999999999101</v>
      </c>
      <c r="E79">
        <v>60.637999999998897</v>
      </c>
      <c r="F79">
        <v>37.289999999999601</v>
      </c>
      <c r="G79">
        <v>50.938777777777602</v>
      </c>
      <c r="H79">
        <v>1.4239999999999999</v>
      </c>
      <c r="I79">
        <v>4.0731111111111797</v>
      </c>
      <c r="J79">
        <v>47.845999999999002</v>
      </c>
      <c r="K79">
        <v>0.44400000000000001</v>
      </c>
      <c r="L79" t="s">
        <v>16</v>
      </c>
      <c r="M79">
        <v>0.1</v>
      </c>
      <c r="N79">
        <v>0.4</v>
      </c>
      <c r="O79" t="str">
        <f t="shared" si="1"/>
        <v>0.1,0.4</v>
      </c>
    </row>
    <row r="80" spans="1:15">
      <c r="A80">
        <v>12</v>
      </c>
      <c r="B80">
        <v>2</v>
      </c>
      <c r="C80">
        <v>1</v>
      </c>
      <c r="D80">
        <v>42.921999999999898</v>
      </c>
      <c r="E80">
        <v>59.417999999999701</v>
      </c>
      <c r="F80">
        <v>34.154999999997997</v>
      </c>
      <c r="G80">
        <v>50.335166666666602</v>
      </c>
      <c r="H80">
        <v>1.268</v>
      </c>
      <c r="I80">
        <v>4.9050000000000402</v>
      </c>
      <c r="J80">
        <v>49.521999999998698</v>
      </c>
      <c r="K80">
        <v>2.4119999999999799</v>
      </c>
      <c r="L80" t="s">
        <v>16</v>
      </c>
      <c r="M80">
        <v>0.1</v>
      </c>
      <c r="N80">
        <v>0.4</v>
      </c>
      <c r="O80" t="str">
        <f t="shared" si="1"/>
        <v>0.1,0.4</v>
      </c>
    </row>
    <row r="81" spans="1:15">
      <c r="A81">
        <v>18</v>
      </c>
      <c r="B81">
        <v>2</v>
      </c>
      <c r="C81">
        <v>1</v>
      </c>
      <c r="D81">
        <v>45.0159999999996</v>
      </c>
      <c r="E81">
        <v>61.819999999999602</v>
      </c>
      <c r="F81">
        <v>36.674666666666198</v>
      </c>
      <c r="G81">
        <v>53.763000000001803</v>
      </c>
      <c r="H81">
        <v>1.5660000000000001</v>
      </c>
      <c r="I81">
        <v>4.4276666666667497</v>
      </c>
      <c r="J81">
        <v>47.439999999999102</v>
      </c>
      <c r="K81">
        <v>1.71799999999999</v>
      </c>
      <c r="L81" t="s">
        <v>16</v>
      </c>
      <c r="M81">
        <v>0.1</v>
      </c>
      <c r="N81">
        <v>0.4</v>
      </c>
      <c r="O81" t="str">
        <f t="shared" si="1"/>
        <v>0.1,0.4</v>
      </c>
    </row>
    <row r="82" spans="1:15">
      <c r="A82">
        <v>12</v>
      </c>
      <c r="B82">
        <v>1</v>
      </c>
      <c r="C82">
        <v>1</v>
      </c>
      <c r="D82">
        <v>44.173999999999403</v>
      </c>
      <c r="E82">
        <v>58.163999999999497</v>
      </c>
      <c r="F82">
        <v>35.425499999998102</v>
      </c>
      <c r="G82">
        <v>49.226999999998398</v>
      </c>
      <c r="H82">
        <v>1.27</v>
      </c>
      <c r="I82">
        <v>3.2921666666667102</v>
      </c>
      <c r="J82">
        <v>47.1520000000001</v>
      </c>
      <c r="K82">
        <v>0.68</v>
      </c>
      <c r="L82" t="s">
        <v>17</v>
      </c>
      <c r="M82">
        <v>0.1</v>
      </c>
      <c r="N82">
        <v>0.4</v>
      </c>
      <c r="O82" t="str">
        <f t="shared" si="1"/>
        <v>0.1,0.4</v>
      </c>
    </row>
    <row r="83" spans="1:15">
      <c r="A83">
        <v>18</v>
      </c>
      <c r="B83">
        <v>1</v>
      </c>
      <c r="C83">
        <v>1</v>
      </c>
      <c r="D83">
        <v>46.899999999999302</v>
      </c>
      <c r="E83">
        <v>61.257999999999598</v>
      </c>
      <c r="F83">
        <v>38.761999999999802</v>
      </c>
      <c r="G83">
        <v>52.604444444444901</v>
      </c>
      <c r="H83">
        <v>1.8180000000000001</v>
      </c>
      <c r="I83">
        <v>2.8401111111111601</v>
      </c>
      <c r="J83">
        <v>42.862000000000002</v>
      </c>
      <c r="K83">
        <v>0.46800000000000003</v>
      </c>
      <c r="L83" t="s">
        <v>17</v>
      </c>
      <c r="M83">
        <v>0.1</v>
      </c>
      <c r="N83">
        <v>0.4</v>
      </c>
      <c r="O83" t="str">
        <f t="shared" si="1"/>
        <v>0.1,0.4</v>
      </c>
    </row>
    <row r="84" spans="1:15">
      <c r="A84">
        <v>12</v>
      </c>
      <c r="B84">
        <v>2</v>
      </c>
      <c r="C84">
        <v>1</v>
      </c>
      <c r="D84">
        <v>43.115999999999502</v>
      </c>
      <c r="E84">
        <v>58.7640000000005</v>
      </c>
      <c r="F84">
        <v>34.337166666664899</v>
      </c>
      <c r="G84">
        <v>48.877500000000197</v>
      </c>
      <c r="H84">
        <v>1.32</v>
      </c>
      <c r="I84">
        <v>3.6486666666667098</v>
      </c>
      <c r="J84">
        <v>47.978000000000002</v>
      </c>
      <c r="K84">
        <v>2.23399999999998</v>
      </c>
      <c r="L84" t="s">
        <v>17</v>
      </c>
      <c r="M84">
        <v>0.1</v>
      </c>
      <c r="N84">
        <v>0.4</v>
      </c>
      <c r="O84" t="str">
        <f t="shared" si="1"/>
        <v>0.1,0.4</v>
      </c>
    </row>
    <row r="85" spans="1:15">
      <c r="A85">
        <v>18</v>
      </c>
      <c r="B85">
        <v>2</v>
      </c>
      <c r="C85">
        <v>1</v>
      </c>
      <c r="D85">
        <v>45.469999999999303</v>
      </c>
      <c r="E85">
        <v>61.340000000000302</v>
      </c>
      <c r="F85">
        <v>36.812666666666402</v>
      </c>
      <c r="G85">
        <v>51.3993333333352</v>
      </c>
      <c r="H85">
        <v>1.9219999999999999</v>
      </c>
      <c r="I85">
        <v>2.9993333333333898</v>
      </c>
      <c r="J85">
        <v>44.261999999999901</v>
      </c>
      <c r="K85">
        <v>1.70999999999999</v>
      </c>
      <c r="L85" t="s">
        <v>17</v>
      </c>
      <c r="M85">
        <v>0.1</v>
      </c>
      <c r="N85">
        <v>0.4</v>
      </c>
      <c r="O85" t="str">
        <f t="shared" si="1"/>
        <v>0.1,0.4</v>
      </c>
    </row>
    <row r="86" spans="1:15">
      <c r="A86">
        <v>12</v>
      </c>
      <c r="B86">
        <v>1</v>
      </c>
      <c r="C86">
        <v>1</v>
      </c>
      <c r="D86">
        <v>42.077999999999399</v>
      </c>
      <c r="E86">
        <v>57.528000000000702</v>
      </c>
      <c r="F86">
        <v>34.851666666664798</v>
      </c>
      <c r="G86">
        <v>49.140666666666</v>
      </c>
      <c r="H86">
        <v>3.1219999999999999</v>
      </c>
      <c r="I86">
        <v>1.9421666666666599</v>
      </c>
      <c r="J86">
        <v>49.928000000000303</v>
      </c>
      <c r="K86">
        <v>0.52200000000000002</v>
      </c>
      <c r="L86" t="s">
        <v>11</v>
      </c>
      <c r="M86">
        <v>0.2</v>
      </c>
      <c r="N86">
        <v>0.2</v>
      </c>
      <c r="O86" t="str">
        <f t="shared" si="1"/>
        <v>0.2,0.2</v>
      </c>
    </row>
    <row r="87" spans="1:15">
      <c r="A87">
        <v>18</v>
      </c>
      <c r="B87">
        <v>1</v>
      </c>
      <c r="C87">
        <v>1</v>
      </c>
      <c r="D87">
        <v>44.913999999999298</v>
      </c>
      <c r="E87">
        <v>61.018000000000796</v>
      </c>
      <c r="F87">
        <v>37.832888888888803</v>
      </c>
      <c r="G87">
        <v>52.762888888889997</v>
      </c>
      <c r="H87">
        <v>3.9580000000000002</v>
      </c>
      <c r="I87">
        <v>1.7394444444444599</v>
      </c>
      <c r="J87">
        <v>48.460000000000299</v>
      </c>
      <c r="K87">
        <v>0.36</v>
      </c>
      <c r="L87" t="s">
        <v>11</v>
      </c>
      <c r="M87">
        <v>0.2</v>
      </c>
      <c r="N87">
        <v>0.2</v>
      </c>
      <c r="O87" t="str">
        <f t="shared" si="1"/>
        <v>0.2,0.2</v>
      </c>
    </row>
    <row r="88" spans="1:15">
      <c r="A88">
        <v>12</v>
      </c>
      <c r="B88">
        <v>2</v>
      </c>
      <c r="C88">
        <v>1</v>
      </c>
      <c r="D88">
        <v>41.271999999999203</v>
      </c>
      <c r="E88">
        <v>54.556000000001099</v>
      </c>
      <c r="F88">
        <v>34.095499999998097</v>
      </c>
      <c r="G88">
        <v>45.819500000000303</v>
      </c>
      <c r="H88">
        <v>2.81</v>
      </c>
      <c r="I88">
        <v>2.2029999999999998</v>
      </c>
      <c r="J88">
        <v>52.430000000000597</v>
      </c>
      <c r="K88">
        <v>1.016</v>
      </c>
      <c r="L88" t="s">
        <v>11</v>
      </c>
      <c r="M88">
        <v>0.2</v>
      </c>
      <c r="N88">
        <v>0.2</v>
      </c>
      <c r="O88" t="str">
        <f t="shared" si="1"/>
        <v>0.2,0.2</v>
      </c>
    </row>
    <row r="89" spans="1:15">
      <c r="A89">
        <v>18</v>
      </c>
      <c r="B89">
        <v>2</v>
      </c>
      <c r="C89">
        <v>1</v>
      </c>
      <c r="D89">
        <v>43.635999999999001</v>
      </c>
      <c r="E89">
        <v>57.496000000001203</v>
      </c>
      <c r="F89">
        <v>36.816888888888599</v>
      </c>
      <c r="G89">
        <v>49.459333333335302</v>
      </c>
      <c r="H89">
        <v>3.5579999999999998</v>
      </c>
      <c r="I89">
        <v>1.8723333333333601</v>
      </c>
      <c r="J89">
        <v>50.664000000000101</v>
      </c>
      <c r="K89">
        <v>0.63200000000000001</v>
      </c>
      <c r="L89" t="s">
        <v>11</v>
      </c>
      <c r="M89">
        <v>0.2</v>
      </c>
      <c r="N89">
        <v>0.2</v>
      </c>
      <c r="O89" t="str">
        <f t="shared" si="1"/>
        <v>0.2,0.2</v>
      </c>
    </row>
    <row r="90" spans="1:15">
      <c r="A90">
        <v>12</v>
      </c>
      <c r="B90">
        <v>1</v>
      </c>
      <c r="C90">
        <v>1</v>
      </c>
      <c r="D90">
        <v>42.227999999999199</v>
      </c>
      <c r="E90">
        <v>58.172000000000402</v>
      </c>
      <c r="F90">
        <v>34.963166666664598</v>
      </c>
      <c r="G90">
        <v>49.878166666665798</v>
      </c>
      <c r="H90">
        <v>3.1080000000000001</v>
      </c>
      <c r="I90">
        <v>2.43950000000001</v>
      </c>
      <c r="J90">
        <v>49.645999999999901</v>
      </c>
      <c r="K90">
        <v>0.52200000000000002</v>
      </c>
      <c r="L90" t="s">
        <v>12</v>
      </c>
      <c r="M90">
        <v>0.2</v>
      </c>
      <c r="N90">
        <v>0.2</v>
      </c>
      <c r="O90" t="str">
        <f t="shared" si="1"/>
        <v>0.2,0.2</v>
      </c>
    </row>
    <row r="91" spans="1:15">
      <c r="A91">
        <v>18</v>
      </c>
      <c r="B91">
        <v>1</v>
      </c>
      <c r="C91">
        <v>1</v>
      </c>
      <c r="D91">
        <v>44.765999999999202</v>
      </c>
      <c r="E91">
        <v>60.928000000000303</v>
      </c>
      <c r="F91">
        <v>38.069999999999702</v>
      </c>
      <c r="G91">
        <v>53.260555555556401</v>
      </c>
      <c r="H91">
        <v>4.1219999999999999</v>
      </c>
      <c r="I91">
        <v>2.1306666666666998</v>
      </c>
      <c r="J91">
        <v>46.9699999999997</v>
      </c>
      <c r="K91">
        <v>0.34799999999999998</v>
      </c>
      <c r="L91" t="s">
        <v>12</v>
      </c>
      <c r="M91">
        <v>0.2</v>
      </c>
      <c r="N91">
        <v>0.2</v>
      </c>
      <c r="O91" t="str">
        <f t="shared" si="1"/>
        <v>0.2,0.2</v>
      </c>
    </row>
    <row r="92" spans="1:15">
      <c r="A92">
        <v>12</v>
      </c>
      <c r="B92">
        <v>2</v>
      </c>
      <c r="C92">
        <v>1</v>
      </c>
      <c r="D92">
        <v>41.969999999999501</v>
      </c>
      <c r="E92">
        <v>56.116000000000803</v>
      </c>
      <c r="F92">
        <v>34.263166666664702</v>
      </c>
      <c r="G92">
        <v>46.7680000000001</v>
      </c>
      <c r="H92">
        <v>3.12</v>
      </c>
      <c r="I92">
        <v>2.5088333333333401</v>
      </c>
      <c r="J92">
        <v>50.555999999999898</v>
      </c>
      <c r="K92">
        <v>1.0780000000000001</v>
      </c>
      <c r="L92" t="s">
        <v>12</v>
      </c>
      <c r="M92">
        <v>0.2</v>
      </c>
      <c r="N92">
        <v>0.2</v>
      </c>
      <c r="O92" t="str">
        <f t="shared" si="1"/>
        <v>0.2,0.2</v>
      </c>
    </row>
    <row r="93" spans="1:15">
      <c r="A93">
        <v>18</v>
      </c>
      <c r="B93">
        <v>2</v>
      </c>
      <c r="C93">
        <v>1</v>
      </c>
      <c r="D93">
        <v>44.145999999999297</v>
      </c>
      <c r="E93">
        <v>58.720000000000702</v>
      </c>
      <c r="F93">
        <v>37.121999999999602</v>
      </c>
      <c r="G93">
        <v>50.343444444446199</v>
      </c>
      <c r="H93">
        <v>4.0880000000000001</v>
      </c>
      <c r="I93">
        <v>2.1706666666666998</v>
      </c>
      <c r="J93">
        <v>48.105999999999497</v>
      </c>
      <c r="K93">
        <v>0.69799999999999995</v>
      </c>
      <c r="L93" t="s">
        <v>12</v>
      </c>
      <c r="M93">
        <v>0.2</v>
      </c>
      <c r="N93">
        <v>0.2</v>
      </c>
      <c r="O93" t="str">
        <f t="shared" si="1"/>
        <v>0.2,0.2</v>
      </c>
    </row>
    <row r="94" spans="1:15">
      <c r="A94">
        <v>12</v>
      </c>
      <c r="B94">
        <v>1</v>
      </c>
      <c r="C94">
        <v>1</v>
      </c>
      <c r="D94">
        <v>42.7599999999996</v>
      </c>
      <c r="E94">
        <v>61.985999999998398</v>
      </c>
      <c r="F94">
        <v>28.236833333330999</v>
      </c>
      <c r="G94">
        <v>47.347333333331598</v>
      </c>
      <c r="H94">
        <v>2.6259999999999999</v>
      </c>
      <c r="I94">
        <v>8.5570000000000608</v>
      </c>
      <c r="J94">
        <v>58.663999999999</v>
      </c>
      <c r="K94">
        <v>0.97199999999999998</v>
      </c>
      <c r="L94" t="s">
        <v>13</v>
      </c>
      <c r="M94">
        <v>0.2</v>
      </c>
      <c r="N94">
        <v>0.2</v>
      </c>
      <c r="O94" t="str">
        <f t="shared" si="1"/>
        <v>0.2,0.2</v>
      </c>
    </row>
    <row r="95" spans="1:15">
      <c r="A95">
        <v>18</v>
      </c>
      <c r="B95">
        <v>1</v>
      </c>
      <c r="C95">
        <v>1</v>
      </c>
      <c r="D95">
        <v>44.7819999999994</v>
      </c>
      <c r="E95">
        <v>64.385999999998901</v>
      </c>
      <c r="F95">
        <v>31.084999999998001</v>
      </c>
      <c r="G95">
        <v>50.361333333332198</v>
      </c>
      <c r="H95">
        <v>3.3079999999999998</v>
      </c>
      <c r="I95">
        <v>7.5116666666669598</v>
      </c>
      <c r="J95">
        <v>55.249999999999098</v>
      </c>
      <c r="K95">
        <v>0.47599999999999998</v>
      </c>
      <c r="L95" t="s">
        <v>13</v>
      </c>
      <c r="M95">
        <v>0.2</v>
      </c>
      <c r="N95">
        <v>0.2</v>
      </c>
      <c r="O95" t="str">
        <f t="shared" si="1"/>
        <v>0.2,0.2</v>
      </c>
    </row>
    <row r="96" spans="1:15">
      <c r="A96">
        <v>12</v>
      </c>
      <c r="B96">
        <v>2</v>
      </c>
      <c r="C96">
        <v>1</v>
      </c>
      <c r="D96">
        <v>43.469999999999899</v>
      </c>
      <c r="E96">
        <v>62.497999999999202</v>
      </c>
      <c r="F96">
        <v>29.112999999997601</v>
      </c>
      <c r="G96">
        <v>51.704499999998603</v>
      </c>
      <c r="H96">
        <v>2.6080000000000001</v>
      </c>
      <c r="I96">
        <v>8.9026666666667094</v>
      </c>
      <c r="J96">
        <v>57.031999999999002</v>
      </c>
      <c r="K96">
        <v>1.8159999999999901</v>
      </c>
      <c r="L96" t="s">
        <v>13</v>
      </c>
      <c r="M96">
        <v>0.2</v>
      </c>
      <c r="N96">
        <v>0.2</v>
      </c>
      <c r="O96" t="str">
        <f t="shared" si="1"/>
        <v>0.2,0.2</v>
      </c>
    </row>
    <row r="97" spans="1:15">
      <c r="A97">
        <v>18</v>
      </c>
      <c r="B97">
        <v>2</v>
      </c>
      <c r="C97">
        <v>1</v>
      </c>
      <c r="D97">
        <v>44.651999999999703</v>
      </c>
      <c r="E97">
        <v>64.527999999999295</v>
      </c>
      <c r="F97">
        <v>31.931333333331398</v>
      </c>
      <c r="G97">
        <v>56.145111111110602</v>
      </c>
      <c r="H97">
        <v>3.17</v>
      </c>
      <c r="I97">
        <v>7.6333333333336499</v>
      </c>
      <c r="J97">
        <v>53.611999999999</v>
      </c>
      <c r="K97">
        <v>0.93400000000000005</v>
      </c>
      <c r="L97" t="s">
        <v>13</v>
      </c>
      <c r="M97">
        <v>0.2</v>
      </c>
      <c r="N97">
        <v>0.2</v>
      </c>
      <c r="O97" t="str">
        <f t="shared" si="1"/>
        <v>0.2,0.2</v>
      </c>
    </row>
    <row r="98" spans="1:15">
      <c r="A98">
        <v>12</v>
      </c>
      <c r="B98">
        <v>1</v>
      </c>
      <c r="C98">
        <v>1</v>
      </c>
      <c r="D98">
        <v>41.695999999999003</v>
      </c>
      <c r="E98">
        <v>58.608000000000402</v>
      </c>
      <c r="F98">
        <v>32.4761666666653</v>
      </c>
      <c r="G98">
        <v>47.452166666666201</v>
      </c>
      <c r="H98">
        <v>3.9140000000000001</v>
      </c>
      <c r="I98">
        <v>2.3955000000000202</v>
      </c>
      <c r="J98">
        <v>45.228000000000499</v>
      </c>
      <c r="K98">
        <v>0.8</v>
      </c>
      <c r="L98" t="s">
        <v>14</v>
      </c>
      <c r="M98">
        <v>0.2</v>
      </c>
      <c r="N98">
        <v>0.2</v>
      </c>
      <c r="O98" t="str">
        <f t="shared" si="1"/>
        <v>0.2,0.2</v>
      </c>
    </row>
    <row r="99" spans="1:15">
      <c r="A99">
        <v>18</v>
      </c>
      <c r="B99">
        <v>1</v>
      </c>
      <c r="C99">
        <v>1</v>
      </c>
      <c r="D99">
        <v>45.4479999999988</v>
      </c>
      <c r="E99">
        <v>63.260000000000602</v>
      </c>
      <c r="F99">
        <v>35.615111111111702</v>
      </c>
      <c r="G99">
        <v>51.261000000000401</v>
      </c>
      <c r="H99">
        <v>5.3760000000000003</v>
      </c>
      <c r="I99">
        <v>2.1496666666667301</v>
      </c>
      <c r="J99">
        <v>41.880000000000202</v>
      </c>
      <c r="K99">
        <v>0.60200000000000098</v>
      </c>
      <c r="L99" t="s">
        <v>14</v>
      </c>
      <c r="M99">
        <v>0.2</v>
      </c>
      <c r="N99">
        <v>0.2</v>
      </c>
      <c r="O99" t="str">
        <f t="shared" si="1"/>
        <v>0.2,0.2</v>
      </c>
    </row>
    <row r="100" spans="1:15">
      <c r="A100">
        <v>12</v>
      </c>
      <c r="B100">
        <v>2</v>
      </c>
      <c r="C100">
        <v>1</v>
      </c>
      <c r="D100">
        <v>42.0619999999995</v>
      </c>
      <c r="E100">
        <v>58.914000000000399</v>
      </c>
      <c r="F100">
        <v>32.012666666665197</v>
      </c>
      <c r="G100">
        <v>46.118166666666802</v>
      </c>
      <c r="H100">
        <v>3.5019999999999998</v>
      </c>
      <c r="I100">
        <v>3.1636666666667201</v>
      </c>
      <c r="J100">
        <v>43.650000000000503</v>
      </c>
      <c r="K100">
        <v>1.6119999999999901</v>
      </c>
      <c r="L100" t="s">
        <v>14</v>
      </c>
      <c r="M100">
        <v>0.2</v>
      </c>
      <c r="N100">
        <v>0.2</v>
      </c>
      <c r="O100" t="str">
        <f t="shared" si="1"/>
        <v>0.2,0.2</v>
      </c>
    </row>
    <row r="101" spans="1:15">
      <c r="A101">
        <v>18</v>
      </c>
      <c r="B101">
        <v>2</v>
      </c>
      <c r="C101">
        <v>1</v>
      </c>
      <c r="D101">
        <v>45.405999999999402</v>
      </c>
      <c r="E101">
        <v>63.4100000000007</v>
      </c>
      <c r="F101">
        <v>35.103555555555502</v>
      </c>
      <c r="G101">
        <v>50.065444444445198</v>
      </c>
      <c r="H101">
        <v>4.5940000000000003</v>
      </c>
      <c r="I101">
        <v>2.83766666666676</v>
      </c>
      <c r="J101">
        <v>39.862000000000002</v>
      </c>
      <c r="K101">
        <v>1.212</v>
      </c>
      <c r="L101" t="s">
        <v>14</v>
      </c>
      <c r="M101">
        <v>0.2</v>
      </c>
      <c r="N101">
        <v>0.2</v>
      </c>
      <c r="O101" t="str">
        <f t="shared" si="1"/>
        <v>0.2,0.2</v>
      </c>
    </row>
    <row r="102" spans="1:15">
      <c r="A102">
        <v>12</v>
      </c>
      <c r="B102">
        <v>1</v>
      </c>
      <c r="C102">
        <v>1</v>
      </c>
      <c r="D102">
        <v>42.779999999999298</v>
      </c>
      <c r="E102">
        <v>59.457999999999601</v>
      </c>
      <c r="F102">
        <v>35.614333333330997</v>
      </c>
      <c r="G102">
        <v>51.237833333331999</v>
      </c>
      <c r="H102">
        <v>3.4980000000000002</v>
      </c>
      <c r="I102">
        <v>3.2825000000000299</v>
      </c>
      <c r="J102">
        <v>49.4539999999988</v>
      </c>
      <c r="K102">
        <v>0.56399999999999995</v>
      </c>
      <c r="L102" t="s">
        <v>15</v>
      </c>
      <c r="M102">
        <v>0.2</v>
      </c>
      <c r="N102">
        <v>0.2</v>
      </c>
      <c r="O102" t="str">
        <f t="shared" si="1"/>
        <v>0.2,0.2</v>
      </c>
    </row>
    <row r="103" spans="1:15">
      <c r="A103">
        <v>18</v>
      </c>
      <c r="B103">
        <v>1</v>
      </c>
      <c r="C103">
        <v>1</v>
      </c>
      <c r="D103">
        <v>44.109999999999197</v>
      </c>
      <c r="E103">
        <v>61.165999999999499</v>
      </c>
      <c r="F103">
        <v>37.9949999999996</v>
      </c>
      <c r="G103">
        <v>54.1750000000008</v>
      </c>
      <c r="H103">
        <v>4.3979999999999997</v>
      </c>
      <c r="I103">
        <v>2.9276666666667199</v>
      </c>
      <c r="J103">
        <v>48.4779999999989</v>
      </c>
      <c r="K103">
        <v>0.32</v>
      </c>
      <c r="L103" t="s">
        <v>15</v>
      </c>
      <c r="M103">
        <v>0.2</v>
      </c>
      <c r="N103">
        <v>0.2</v>
      </c>
      <c r="O103" t="str">
        <f t="shared" si="1"/>
        <v>0.2,0.2</v>
      </c>
    </row>
    <row r="104" spans="1:15">
      <c r="A104">
        <v>12</v>
      </c>
      <c r="B104">
        <v>2</v>
      </c>
      <c r="C104">
        <v>1</v>
      </c>
      <c r="D104">
        <v>42.623999999999697</v>
      </c>
      <c r="E104">
        <v>57.282000000000401</v>
      </c>
      <c r="F104">
        <v>35.161833333331103</v>
      </c>
      <c r="G104">
        <v>49.0131666666664</v>
      </c>
      <c r="H104">
        <v>3.5339999999999998</v>
      </c>
      <c r="I104">
        <v>3.3678333333333699</v>
      </c>
      <c r="J104">
        <v>50.139999999998601</v>
      </c>
      <c r="K104">
        <v>1.1779999999999999</v>
      </c>
      <c r="L104" t="s">
        <v>15</v>
      </c>
      <c r="M104">
        <v>0.2</v>
      </c>
      <c r="N104">
        <v>0.2</v>
      </c>
      <c r="O104" t="str">
        <f t="shared" si="1"/>
        <v>0.2,0.2</v>
      </c>
    </row>
    <row r="105" spans="1:15">
      <c r="A105">
        <v>18</v>
      </c>
      <c r="B105">
        <v>2</v>
      </c>
      <c r="C105">
        <v>1</v>
      </c>
      <c r="D105">
        <v>43.671999999999699</v>
      </c>
      <c r="E105">
        <v>59.195999999999998</v>
      </c>
      <c r="F105">
        <v>37.195888888888497</v>
      </c>
      <c r="G105">
        <v>52.153555555557297</v>
      </c>
      <c r="H105">
        <v>4.3760000000000003</v>
      </c>
      <c r="I105">
        <v>2.9984444444445</v>
      </c>
      <c r="J105">
        <v>49.237999999998799</v>
      </c>
      <c r="K105">
        <v>0.82199999999999995</v>
      </c>
      <c r="L105" t="s">
        <v>15</v>
      </c>
      <c r="M105">
        <v>0.2</v>
      </c>
      <c r="N105">
        <v>0.2</v>
      </c>
      <c r="O105" t="str">
        <f t="shared" si="1"/>
        <v>0.2,0.2</v>
      </c>
    </row>
    <row r="106" spans="1:15">
      <c r="A106">
        <v>12</v>
      </c>
      <c r="B106">
        <v>1</v>
      </c>
      <c r="C106">
        <v>1</v>
      </c>
      <c r="D106">
        <v>40.203999999999198</v>
      </c>
      <c r="E106">
        <v>55.5480000000004</v>
      </c>
      <c r="F106">
        <v>33.241666666664699</v>
      </c>
      <c r="G106">
        <v>47.095999999999101</v>
      </c>
      <c r="H106">
        <v>5.21</v>
      </c>
      <c r="I106">
        <v>1.8420000000000001</v>
      </c>
      <c r="J106">
        <v>53.044000000000203</v>
      </c>
      <c r="K106">
        <v>0.42399999999999999</v>
      </c>
      <c r="L106" t="s">
        <v>16</v>
      </c>
      <c r="M106">
        <v>0.2</v>
      </c>
      <c r="N106">
        <v>0.2</v>
      </c>
      <c r="O106" t="str">
        <f t="shared" si="1"/>
        <v>0.2,0.2</v>
      </c>
    </row>
    <row r="107" spans="1:15">
      <c r="A107">
        <v>18</v>
      </c>
      <c r="B107">
        <v>1</v>
      </c>
      <c r="C107">
        <v>1</v>
      </c>
      <c r="D107">
        <v>42.5199999999993</v>
      </c>
      <c r="E107">
        <v>58.132000000000303</v>
      </c>
      <c r="F107">
        <v>35.818777777777598</v>
      </c>
      <c r="G107">
        <v>50.197222222222997</v>
      </c>
      <c r="H107">
        <v>6.3319999999999999</v>
      </c>
      <c r="I107">
        <v>1.6440000000000199</v>
      </c>
      <c r="J107">
        <v>51.057999999999502</v>
      </c>
      <c r="K107">
        <v>0.26600000000000001</v>
      </c>
      <c r="L107" t="s">
        <v>16</v>
      </c>
      <c r="M107">
        <v>0.2</v>
      </c>
      <c r="N107">
        <v>0.2</v>
      </c>
      <c r="O107" t="str">
        <f t="shared" si="1"/>
        <v>0.2,0.2</v>
      </c>
    </row>
    <row r="108" spans="1:15">
      <c r="A108">
        <v>12</v>
      </c>
      <c r="B108">
        <v>2</v>
      </c>
      <c r="C108">
        <v>1</v>
      </c>
      <c r="D108">
        <v>40.083999999999399</v>
      </c>
      <c r="E108">
        <v>53.372000000000703</v>
      </c>
      <c r="F108">
        <v>32.928999999997998</v>
      </c>
      <c r="G108">
        <v>44.4525000000001</v>
      </c>
      <c r="H108">
        <v>5.0439999999999996</v>
      </c>
      <c r="I108">
        <v>1.8738333333333299</v>
      </c>
      <c r="J108">
        <v>53.704000000000299</v>
      </c>
      <c r="K108">
        <v>0.97</v>
      </c>
      <c r="L108" t="s">
        <v>16</v>
      </c>
      <c r="M108">
        <v>0.2</v>
      </c>
      <c r="N108">
        <v>0.2</v>
      </c>
      <c r="O108" t="str">
        <f t="shared" si="1"/>
        <v>0.2,0.2</v>
      </c>
    </row>
    <row r="109" spans="1:15">
      <c r="A109">
        <v>18</v>
      </c>
      <c r="B109">
        <v>2</v>
      </c>
      <c r="C109">
        <v>1</v>
      </c>
      <c r="D109">
        <v>41.533999999999601</v>
      </c>
      <c r="E109">
        <v>55.542000000000598</v>
      </c>
      <c r="F109">
        <v>34.579555555555302</v>
      </c>
      <c r="G109">
        <v>47.330111111112799</v>
      </c>
      <c r="H109">
        <v>5.97</v>
      </c>
      <c r="I109">
        <v>1.7017777777778</v>
      </c>
      <c r="J109">
        <v>52.673999999999403</v>
      </c>
      <c r="K109">
        <v>0.74</v>
      </c>
      <c r="L109" t="s">
        <v>16</v>
      </c>
      <c r="M109">
        <v>0.2</v>
      </c>
      <c r="N109">
        <v>0.2</v>
      </c>
      <c r="O109" t="str">
        <f t="shared" si="1"/>
        <v>0.2,0.2</v>
      </c>
    </row>
    <row r="110" spans="1:15">
      <c r="A110">
        <v>12</v>
      </c>
      <c r="B110">
        <v>1</v>
      </c>
      <c r="C110">
        <v>1</v>
      </c>
      <c r="D110">
        <v>41.913999999999199</v>
      </c>
      <c r="E110">
        <v>57.808000000000703</v>
      </c>
      <c r="F110">
        <v>34.852666666664703</v>
      </c>
      <c r="G110">
        <v>49.403666666665998</v>
      </c>
      <c r="H110">
        <v>4.2220000000000004</v>
      </c>
      <c r="I110">
        <v>2.01983333333333</v>
      </c>
      <c r="J110">
        <v>49.714000000000297</v>
      </c>
      <c r="K110">
        <v>0.51200000000000101</v>
      </c>
      <c r="L110" t="s">
        <v>17</v>
      </c>
      <c r="M110">
        <v>0.2</v>
      </c>
      <c r="N110">
        <v>0.2</v>
      </c>
      <c r="O110" t="str">
        <f t="shared" si="1"/>
        <v>0.2,0.2</v>
      </c>
    </row>
    <row r="111" spans="1:15">
      <c r="A111">
        <v>18</v>
      </c>
      <c r="B111">
        <v>1</v>
      </c>
      <c r="C111">
        <v>1</v>
      </c>
      <c r="D111">
        <v>44.059999999999398</v>
      </c>
      <c r="E111">
        <v>60.214000000000503</v>
      </c>
      <c r="F111">
        <v>37.442999999999898</v>
      </c>
      <c r="G111">
        <v>52.438222222223402</v>
      </c>
      <c r="H111">
        <v>6.1280000000000001</v>
      </c>
      <c r="I111">
        <v>1.7486666666666799</v>
      </c>
      <c r="J111">
        <v>46.504000000000097</v>
      </c>
      <c r="K111">
        <v>0.36199999999999999</v>
      </c>
      <c r="L111" t="s">
        <v>17</v>
      </c>
      <c r="M111">
        <v>0.2</v>
      </c>
      <c r="N111">
        <v>0.2</v>
      </c>
      <c r="O111" t="str">
        <f t="shared" si="1"/>
        <v>0.2,0.2</v>
      </c>
    </row>
    <row r="112" spans="1:15">
      <c r="A112">
        <v>12</v>
      </c>
      <c r="B112">
        <v>2</v>
      </c>
      <c r="C112">
        <v>1</v>
      </c>
      <c r="D112">
        <v>41.731999999999204</v>
      </c>
      <c r="E112">
        <v>54.918000000001001</v>
      </c>
      <c r="F112">
        <v>34.250666666664799</v>
      </c>
      <c r="G112">
        <v>45.747000000000298</v>
      </c>
      <c r="H112">
        <v>3.976</v>
      </c>
      <c r="I112">
        <v>2.0731666666666602</v>
      </c>
      <c r="J112">
        <v>50.864000000000303</v>
      </c>
      <c r="K112">
        <v>0.98399999999999999</v>
      </c>
      <c r="L112" t="s">
        <v>17</v>
      </c>
      <c r="M112">
        <v>0.2</v>
      </c>
      <c r="N112">
        <v>0.2</v>
      </c>
      <c r="O112" t="str">
        <f t="shared" si="1"/>
        <v>0.2,0.2</v>
      </c>
    </row>
    <row r="113" spans="1:15">
      <c r="A113">
        <v>18</v>
      </c>
      <c r="B113">
        <v>2</v>
      </c>
      <c r="C113">
        <v>1</v>
      </c>
      <c r="D113">
        <v>42.9619999999992</v>
      </c>
      <c r="E113">
        <v>56.816000000000997</v>
      </c>
      <c r="F113">
        <v>36.115777777777602</v>
      </c>
      <c r="G113">
        <v>48.276666666668703</v>
      </c>
      <c r="H113">
        <v>5.6820000000000004</v>
      </c>
      <c r="I113">
        <v>1.73844444444446</v>
      </c>
      <c r="J113">
        <v>48.482000000000099</v>
      </c>
      <c r="K113">
        <v>0.72</v>
      </c>
      <c r="L113" t="s">
        <v>17</v>
      </c>
      <c r="M113">
        <v>0.2</v>
      </c>
      <c r="N113">
        <v>0.2</v>
      </c>
      <c r="O113" t="str">
        <f t="shared" si="1"/>
        <v>0.2,0.2</v>
      </c>
    </row>
    <row r="114" spans="1:15">
      <c r="A114">
        <v>12</v>
      </c>
      <c r="B114">
        <v>1</v>
      </c>
      <c r="C114">
        <v>1</v>
      </c>
      <c r="D114">
        <v>45.409999999999201</v>
      </c>
      <c r="E114">
        <v>60.111999999999597</v>
      </c>
      <c r="F114">
        <v>37.305166666664803</v>
      </c>
      <c r="G114">
        <v>52.071666666665401</v>
      </c>
      <c r="H114">
        <v>1.9359999999999999</v>
      </c>
      <c r="I114">
        <v>3.67466666666671</v>
      </c>
      <c r="J114">
        <v>42.436</v>
      </c>
      <c r="K114">
        <v>0.63</v>
      </c>
      <c r="L114" t="s">
        <v>11</v>
      </c>
      <c r="M114">
        <v>0.2</v>
      </c>
      <c r="N114">
        <v>0.3</v>
      </c>
      <c r="O114" t="str">
        <f t="shared" si="1"/>
        <v>0.2,0.3</v>
      </c>
    </row>
    <row r="115" spans="1:15">
      <c r="A115">
        <v>18</v>
      </c>
      <c r="B115">
        <v>1</v>
      </c>
      <c r="C115">
        <v>1</v>
      </c>
      <c r="D115">
        <v>48.1359999999992</v>
      </c>
      <c r="E115">
        <v>63.397999999999897</v>
      </c>
      <c r="F115">
        <v>40.501777777777399</v>
      </c>
      <c r="G115">
        <v>55.549555555556402</v>
      </c>
      <c r="H115">
        <v>2.54</v>
      </c>
      <c r="I115">
        <v>2.9887777777778402</v>
      </c>
      <c r="J115">
        <v>43.107999999999599</v>
      </c>
      <c r="K115">
        <v>0.40799999999999997</v>
      </c>
      <c r="L115" t="s">
        <v>11</v>
      </c>
      <c r="M115">
        <v>0.2</v>
      </c>
      <c r="N115">
        <v>0.3</v>
      </c>
      <c r="O115" t="str">
        <f t="shared" si="1"/>
        <v>0.2,0.3</v>
      </c>
    </row>
    <row r="116" spans="1:15">
      <c r="A116">
        <v>12</v>
      </c>
      <c r="B116">
        <v>2</v>
      </c>
      <c r="C116">
        <v>1</v>
      </c>
      <c r="D116">
        <v>43.811999999999401</v>
      </c>
      <c r="E116">
        <v>58.772000000000702</v>
      </c>
      <c r="F116">
        <v>36.600833333331103</v>
      </c>
      <c r="G116">
        <v>50.831666666666699</v>
      </c>
      <c r="H116">
        <v>1.81</v>
      </c>
      <c r="I116">
        <v>3.8008333333333901</v>
      </c>
      <c r="J116">
        <v>48.353999999999502</v>
      </c>
      <c r="K116">
        <v>1.482</v>
      </c>
      <c r="L116" t="s">
        <v>11</v>
      </c>
      <c r="M116">
        <v>0.2</v>
      </c>
      <c r="N116">
        <v>0.3</v>
      </c>
      <c r="O116" t="str">
        <f t="shared" si="1"/>
        <v>0.2,0.3</v>
      </c>
    </row>
    <row r="117" spans="1:15">
      <c r="A117">
        <v>18</v>
      </c>
      <c r="B117">
        <v>2</v>
      </c>
      <c r="C117">
        <v>1</v>
      </c>
      <c r="D117">
        <v>46.037999999999101</v>
      </c>
      <c r="E117">
        <v>61.294000000000501</v>
      </c>
      <c r="F117">
        <v>39.383555555555297</v>
      </c>
      <c r="G117">
        <v>54.087777777779898</v>
      </c>
      <c r="H117">
        <v>2.2839999999999998</v>
      </c>
      <c r="I117">
        <v>3.16666666666673</v>
      </c>
      <c r="J117">
        <v>47.289999999999502</v>
      </c>
      <c r="K117">
        <v>1.054</v>
      </c>
      <c r="L117" t="s">
        <v>11</v>
      </c>
      <c r="M117">
        <v>0.2</v>
      </c>
      <c r="N117">
        <v>0.3</v>
      </c>
      <c r="O117" t="str">
        <f t="shared" si="1"/>
        <v>0.2,0.3</v>
      </c>
    </row>
    <row r="118" spans="1:15">
      <c r="A118">
        <v>12</v>
      </c>
      <c r="B118">
        <v>1</v>
      </c>
      <c r="C118">
        <v>1</v>
      </c>
      <c r="D118">
        <v>44.197999999999297</v>
      </c>
      <c r="E118">
        <v>58.7239999999994</v>
      </c>
      <c r="F118">
        <v>37.636833333330998</v>
      </c>
      <c r="G118">
        <v>52.258166666664998</v>
      </c>
      <c r="H118">
        <v>2.2240000000000002</v>
      </c>
      <c r="I118">
        <v>3.8928333333333902</v>
      </c>
      <c r="J118">
        <v>47.589999999999101</v>
      </c>
      <c r="K118">
        <v>0.58799999999999997</v>
      </c>
      <c r="L118" t="s">
        <v>12</v>
      </c>
      <c r="M118">
        <v>0.2</v>
      </c>
      <c r="N118">
        <v>0.3</v>
      </c>
      <c r="O118" t="str">
        <f t="shared" si="1"/>
        <v>0.2,0.3</v>
      </c>
    </row>
    <row r="119" spans="1:15">
      <c r="A119">
        <v>18</v>
      </c>
      <c r="B119">
        <v>1</v>
      </c>
      <c r="C119">
        <v>1</v>
      </c>
      <c r="D119">
        <v>46.5079999999992</v>
      </c>
      <c r="E119">
        <v>61.291999999999298</v>
      </c>
      <c r="F119">
        <v>40.566222222222102</v>
      </c>
      <c r="G119">
        <v>55.386444444445097</v>
      </c>
      <c r="H119">
        <v>2.774</v>
      </c>
      <c r="I119">
        <v>3.4104444444444999</v>
      </c>
      <c r="J119">
        <v>45.9039999999994</v>
      </c>
      <c r="K119">
        <v>0.36</v>
      </c>
      <c r="L119" t="s">
        <v>12</v>
      </c>
      <c r="M119">
        <v>0.2</v>
      </c>
      <c r="N119">
        <v>0.3</v>
      </c>
      <c r="O119" t="str">
        <f t="shared" si="1"/>
        <v>0.2,0.3</v>
      </c>
    </row>
    <row r="120" spans="1:15">
      <c r="A120">
        <v>12</v>
      </c>
      <c r="B120">
        <v>2</v>
      </c>
      <c r="C120">
        <v>1</v>
      </c>
      <c r="D120">
        <v>43.635999999999498</v>
      </c>
      <c r="E120">
        <v>58.756000000000299</v>
      </c>
      <c r="F120">
        <v>36.544166666664402</v>
      </c>
      <c r="G120">
        <v>51.151833333333201</v>
      </c>
      <c r="H120">
        <v>2.1160000000000001</v>
      </c>
      <c r="I120">
        <v>4.0750000000000597</v>
      </c>
      <c r="J120">
        <v>48.873999999998901</v>
      </c>
      <c r="K120">
        <v>1.6419999999999899</v>
      </c>
      <c r="L120" t="s">
        <v>12</v>
      </c>
      <c r="M120">
        <v>0.2</v>
      </c>
      <c r="N120">
        <v>0.3</v>
      </c>
      <c r="O120" t="str">
        <f t="shared" si="1"/>
        <v>0.2,0.3</v>
      </c>
    </row>
    <row r="121" spans="1:15">
      <c r="A121">
        <v>18</v>
      </c>
      <c r="B121">
        <v>2</v>
      </c>
      <c r="C121">
        <v>1</v>
      </c>
      <c r="D121">
        <v>45.801999999999403</v>
      </c>
      <c r="E121">
        <v>61.800000000000097</v>
      </c>
      <c r="F121">
        <v>39.336111111110903</v>
      </c>
      <c r="G121">
        <v>54.918666666668898</v>
      </c>
      <c r="H121">
        <v>2.7480000000000002</v>
      </c>
      <c r="I121">
        <v>3.3865555555556202</v>
      </c>
      <c r="J121">
        <v>46.931999999999199</v>
      </c>
      <c r="K121">
        <v>1.0920000000000001</v>
      </c>
      <c r="L121" t="s">
        <v>12</v>
      </c>
      <c r="M121">
        <v>0.2</v>
      </c>
      <c r="N121">
        <v>0.3</v>
      </c>
      <c r="O121" t="str">
        <f t="shared" si="1"/>
        <v>0.2,0.3</v>
      </c>
    </row>
    <row r="122" spans="1:15">
      <c r="A122">
        <v>12</v>
      </c>
      <c r="B122">
        <v>1</v>
      </c>
      <c r="C122">
        <v>1</v>
      </c>
      <c r="D122">
        <v>43.5379999999993</v>
      </c>
      <c r="E122">
        <v>59.4399999999982</v>
      </c>
      <c r="F122">
        <v>27.8808333333311</v>
      </c>
      <c r="G122">
        <v>43.270166666664899</v>
      </c>
      <c r="H122">
        <v>2.548</v>
      </c>
      <c r="I122">
        <v>7.2291666666666803</v>
      </c>
      <c r="J122">
        <v>55.083999999998099</v>
      </c>
      <c r="K122">
        <v>0.91</v>
      </c>
      <c r="L122" t="s">
        <v>13</v>
      </c>
      <c r="M122">
        <v>0.2</v>
      </c>
      <c r="N122">
        <v>0.3</v>
      </c>
      <c r="O122" t="str">
        <f t="shared" si="1"/>
        <v>0.2,0.3</v>
      </c>
    </row>
    <row r="123" spans="1:15">
      <c r="A123">
        <v>18</v>
      </c>
      <c r="B123">
        <v>1</v>
      </c>
      <c r="C123">
        <v>1</v>
      </c>
      <c r="D123">
        <v>45.641999999999101</v>
      </c>
      <c r="E123">
        <v>62.077999999998397</v>
      </c>
      <c r="F123">
        <v>30.521222222220299</v>
      </c>
      <c r="G123">
        <v>46.082111111110002</v>
      </c>
      <c r="H123">
        <v>3.3119999999999998</v>
      </c>
      <c r="I123">
        <v>6.9010000000002201</v>
      </c>
      <c r="J123">
        <v>55.853999999998898</v>
      </c>
      <c r="K123">
        <v>0.53800000000000003</v>
      </c>
      <c r="L123" t="s">
        <v>13</v>
      </c>
      <c r="M123">
        <v>0.2</v>
      </c>
      <c r="N123">
        <v>0.3</v>
      </c>
      <c r="O123" t="str">
        <f t="shared" si="1"/>
        <v>0.2,0.3</v>
      </c>
    </row>
    <row r="124" spans="1:15">
      <c r="A124">
        <v>12</v>
      </c>
      <c r="B124">
        <v>2</v>
      </c>
      <c r="C124">
        <v>1</v>
      </c>
      <c r="D124">
        <v>43.827999999999903</v>
      </c>
      <c r="E124">
        <v>62.449999999999598</v>
      </c>
      <c r="F124">
        <v>28.879666666664502</v>
      </c>
      <c r="G124">
        <v>50.371999999998501</v>
      </c>
      <c r="H124">
        <v>2.456</v>
      </c>
      <c r="I124">
        <v>7.2851666666667096</v>
      </c>
      <c r="J124">
        <v>53.151999999998402</v>
      </c>
      <c r="K124">
        <v>2.01399999999999</v>
      </c>
      <c r="L124" t="s">
        <v>13</v>
      </c>
      <c r="M124">
        <v>0.2</v>
      </c>
      <c r="N124">
        <v>0.3</v>
      </c>
      <c r="O124" t="str">
        <f t="shared" si="1"/>
        <v>0.2,0.3</v>
      </c>
    </row>
    <row r="125" spans="1:15">
      <c r="A125">
        <v>18</v>
      </c>
      <c r="B125">
        <v>2</v>
      </c>
      <c r="C125">
        <v>1</v>
      </c>
      <c r="D125">
        <v>46.061999999999401</v>
      </c>
      <c r="E125">
        <v>65.215999999999497</v>
      </c>
      <c r="F125">
        <v>31.954222222220199</v>
      </c>
      <c r="G125">
        <v>55.198333333333103</v>
      </c>
      <c r="H125">
        <v>3.0419999999999998</v>
      </c>
      <c r="I125">
        <v>6.9598888888891199</v>
      </c>
      <c r="J125">
        <v>53.491999999999202</v>
      </c>
      <c r="K125">
        <v>1.4319999999999999</v>
      </c>
      <c r="L125" t="s">
        <v>13</v>
      </c>
      <c r="M125">
        <v>0.2</v>
      </c>
      <c r="N125">
        <v>0.3</v>
      </c>
      <c r="O125" t="str">
        <f t="shared" si="1"/>
        <v>0.2,0.3</v>
      </c>
    </row>
    <row r="126" spans="1:15">
      <c r="A126">
        <v>12</v>
      </c>
      <c r="B126">
        <v>1</v>
      </c>
      <c r="C126">
        <v>1</v>
      </c>
      <c r="D126">
        <v>44.969999999998997</v>
      </c>
      <c r="E126">
        <v>60.749999999999297</v>
      </c>
      <c r="F126">
        <v>35.510666666664697</v>
      </c>
      <c r="G126">
        <v>50.7191666666656</v>
      </c>
      <c r="H126">
        <v>2.1259999999999999</v>
      </c>
      <c r="I126">
        <v>3.7891666666667501</v>
      </c>
      <c r="J126">
        <v>40.929999999999701</v>
      </c>
      <c r="K126">
        <v>0.84799999999999998</v>
      </c>
      <c r="L126" t="s">
        <v>14</v>
      </c>
      <c r="M126">
        <v>0.2</v>
      </c>
      <c r="N126">
        <v>0.3</v>
      </c>
      <c r="O126" t="str">
        <f t="shared" si="1"/>
        <v>0.2,0.3</v>
      </c>
    </row>
    <row r="127" spans="1:15">
      <c r="A127">
        <v>18</v>
      </c>
      <c r="B127">
        <v>1</v>
      </c>
      <c r="C127">
        <v>1</v>
      </c>
      <c r="D127">
        <v>48.847999999998798</v>
      </c>
      <c r="E127">
        <v>64.83</v>
      </c>
      <c r="F127">
        <v>38.730444444444402</v>
      </c>
      <c r="G127">
        <v>53.773333333333497</v>
      </c>
      <c r="H127">
        <v>3.448</v>
      </c>
      <c r="I127">
        <v>3.1225555555556599</v>
      </c>
      <c r="J127">
        <v>37.481999999999601</v>
      </c>
      <c r="K127">
        <v>0.66400000000000003</v>
      </c>
      <c r="L127" t="s">
        <v>14</v>
      </c>
      <c r="M127">
        <v>0.2</v>
      </c>
      <c r="N127">
        <v>0.3</v>
      </c>
      <c r="O127" t="str">
        <f t="shared" si="1"/>
        <v>0.2,0.3</v>
      </c>
    </row>
    <row r="128" spans="1:15">
      <c r="A128">
        <v>12</v>
      </c>
      <c r="B128">
        <v>2</v>
      </c>
      <c r="C128">
        <v>1</v>
      </c>
      <c r="D128">
        <v>45.3299999999996</v>
      </c>
      <c r="E128">
        <v>64.152000000000001</v>
      </c>
      <c r="F128">
        <v>34.586833333331299</v>
      </c>
      <c r="G128">
        <v>51.647499999999702</v>
      </c>
      <c r="H128">
        <v>1.9079999999999999</v>
      </c>
      <c r="I128">
        <v>5.1121666666667798</v>
      </c>
      <c r="J128">
        <v>39.110000000000198</v>
      </c>
      <c r="K128">
        <v>2.3879999999999799</v>
      </c>
      <c r="L128" t="s">
        <v>14</v>
      </c>
      <c r="M128">
        <v>0.2</v>
      </c>
      <c r="N128">
        <v>0.3</v>
      </c>
      <c r="O128" t="str">
        <f t="shared" si="1"/>
        <v>0.2,0.3</v>
      </c>
    </row>
    <row r="129" spans="1:15">
      <c r="A129">
        <v>18</v>
      </c>
      <c r="B129">
        <v>2</v>
      </c>
      <c r="C129">
        <v>1</v>
      </c>
      <c r="D129">
        <v>47.979999999999002</v>
      </c>
      <c r="E129">
        <v>67.280000000000499</v>
      </c>
      <c r="F129">
        <v>37.5562222222214</v>
      </c>
      <c r="G129">
        <v>54.482555555556203</v>
      </c>
      <c r="H129">
        <v>3</v>
      </c>
      <c r="I129">
        <v>4.07488888888905</v>
      </c>
      <c r="J129">
        <v>36.8560000000004</v>
      </c>
      <c r="K129">
        <v>1.76199999999999</v>
      </c>
      <c r="L129" t="s">
        <v>14</v>
      </c>
      <c r="M129">
        <v>0.2</v>
      </c>
      <c r="N129">
        <v>0.3</v>
      </c>
      <c r="O129" t="str">
        <f t="shared" si="1"/>
        <v>0.2,0.3</v>
      </c>
    </row>
    <row r="130" spans="1:15">
      <c r="A130">
        <v>12</v>
      </c>
      <c r="B130">
        <v>1</v>
      </c>
      <c r="C130">
        <v>1</v>
      </c>
      <c r="D130">
        <v>44.247999999999202</v>
      </c>
      <c r="E130">
        <v>58.931999999999</v>
      </c>
      <c r="F130">
        <v>36.881666666664401</v>
      </c>
      <c r="G130">
        <v>51.790166666665201</v>
      </c>
      <c r="H130">
        <v>1.472</v>
      </c>
      <c r="I130">
        <v>4.9146666666667196</v>
      </c>
      <c r="J130">
        <v>47.685999999999098</v>
      </c>
      <c r="K130">
        <v>0.72199999999999998</v>
      </c>
      <c r="L130" t="s">
        <v>15</v>
      </c>
      <c r="M130">
        <v>0.2</v>
      </c>
      <c r="N130">
        <v>0.3</v>
      </c>
      <c r="O130" t="str">
        <f t="shared" si="1"/>
        <v>0.2,0.3</v>
      </c>
    </row>
    <row r="131" spans="1:15">
      <c r="A131">
        <v>18</v>
      </c>
      <c r="B131">
        <v>1</v>
      </c>
      <c r="C131">
        <v>1</v>
      </c>
      <c r="D131">
        <v>46.463999999999103</v>
      </c>
      <c r="E131">
        <v>61.799999999998903</v>
      </c>
      <c r="F131">
        <v>39.7316666666663</v>
      </c>
      <c r="G131">
        <v>54.992666666666899</v>
      </c>
      <c r="H131">
        <v>2.0099999999999998</v>
      </c>
      <c r="I131">
        <v>4.3657777777778604</v>
      </c>
      <c r="J131">
        <v>45.823999999999501</v>
      </c>
      <c r="K131">
        <v>0.44600000000000001</v>
      </c>
      <c r="L131" t="s">
        <v>15</v>
      </c>
      <c r="M131">
        <v>0.2</v>
      </c>
      <c r="N131">
        <v>0.3</v>
      </c>
      <c r="O131" t="str">
        <f t="shared" ref="O131:O194" si="2">M131&amp;","&amp;N131</f>
        <v>0.2,0.3</v>
      </c>
    </row>
    <row r="132" spans="1:15">
      <c r="A132">
        <v>12</v>
      </c>
      <c r="B132">
        <v>2</v>
      </c>
      <c r="C132">
        <v>1</v>
      </c>
      <c r="D132">
        <v>43.739999999999803</v>
      </c>
      <c r="E132">
        <v>59.8719999999999</v>
      </c>
      <c r="F132">
        <v>36.171999999997901</v>
      </c>
      <c r="G132">
        <v>51.811500000000002</v>
      </c>
      <c r="H132">
        <v>1.482</v>
      </c>
      <c r="I132">
        <v>5.0973333333333901</v>
      </c>
      <c r="J132">
        <v>48.209999999998999</v>
      </c>
      <c r="K132">
        <v>1.68799999999999</v>
      </c>
      <c r="L132" t="s">
        <v>15</v>
      </c>
      <c r="M132">
        <v>0.2</v>
      </c>
      <c r="N132">
        <v>0.3</v>
      </c>
      <c r="O132" t="str">
        <f t="shared" si="2"/>
        <v>0.2,0.3</v>
      </c>
    </row>
    <row r="133" spans="1:15">
      <c r="A133">
        <v>18</v>
      </c>
      <c r="B133">
        <v>2</v>
      </c>
      <c r="C133">
        <v>1</v>
      </c>
      <c r="D133">
        <v>45.841999999999402</v>
      </c>
      <c r="E133">
        <v>62.937999999999697</v>
      </c>
      <c r="F133">
        <v>38.781666666666403</v>
      </c>
      <c r="G133">
        <v>55.7395555555577</v>
      </c>
      <c r="H133">
        <v>2</v>
      </c>
      <c r="I133">
        <v>4.4823333333334201</v>
      </c>
      <c r="J133">
        <v>46.617999999999299</v>
      </c>
      <c r="K133">
        <v>1.21</v>
      </c>
      <c r="L133" t="s">
        <v>15</v>
      </c>
      <c r="M133">
        <v>0.2</v>
      </c>
      <c r="N133">
        <v>0.3</v>
      </c>
      <c r="O133" t="str">
        <f t="shared" si="2"/>
        <v>0.2,0.3</v>
      </c>
    </row>
    <row r="134" spans="1:15">
      <c r="A134">
        <v>12</v>
      </c>
      <c r="B134">
        <v>1</v>
      </c>
      <c r="C134">
        <v>1</v>
      </c>
      <c r="D134">
        <v>43.095999999999201</v>
      </c>
      <c r="E134">
        <v>57.381999999999699</v>
      </c>
      <c r="F134">
        <v>35.130833333331402</v>
      </c>
      <c r="G134">
        <v>48.368666666665199</v>
      </c>
      <c r="H134">
        <v>2.6219999999999999</v>
      </c>
      <c r="I134">
        <v>2.6778333333333402</v>
      </c>
      <c r="J134">
        <v>50.145999999999397</v>
      </c>
      <c r="K134">
        <v>0.55800000000000005</v>
      </c>
      <c r="L134" t="s">
        <v>16</v>
      </c>
      <c r="M134">
        <v>0.2</v>
      </c>
      <c r="N134">
        <v>0.3</v>
      </c>
      <c r="O134" t="str">
        <f t="shared" si="2"/>
        <v>0.2,0.3</v>
      </c>
    </row>
    <row r="135" spans="1:15">
      <c r="A135">
        <v>18</v>
      </c>
      <c r="B135">
        <v>1</v>
      </c>
      <c r="C135">
        <v>1</v>
      </c>
      <c r="D135">
        <v>45.125999999999202</v>
      </c>
      <c r="E135">
        <v>59.989999999999597</v>
      </c>
      <c r="F135">
        <v>37.941888888888499</v>
      </c>
      <c r="G135">
        <v>51.744222222222596</v>
      </c>
      <c r="H135">
        <v>3.4279999999999999</v>
      </c>
      <c r="I135">
        <v>2.5346666666666899</v>
      </c>
      <c r="J135">
        <v>48.331999999998999</v>
      </c>
      <c r="K135">
        <v>0.40600000000000003</v>
      </c>
      <c r="L135" t="s">
        <v>16</v>
      </c>
      <c r="M135">
        <v>0.2</v>
      </c>
      <c r="N135">
        <v>0.3</v>
      </c>
      <c r="O135" t="str">
        <f t="shared" si="2"/>
        <v>0.2,0.3</v>
      </c>
    </row>
    <row r="136" spans="1:15">
      <c r="A136">
        <v>12</v>
      </c>
      <c r="B136">
        <v>2</v>
      </c>
      <c r="C136">
        <v>1</v>
      </c>
      <c r="D136">
        <v>42.7599999999996</v>
      </c>
      <c r="E136">
        <v>57.924000000000497</v>
      </c>
      <c r="F136">
        <v>34.627166666664699</v>
      </c>
      <c r="G136">
        <v>47.886000000000003</v>
      </c>
      <c r="H136">
        <v>2.6360000000000001</v>
      </c>
      <c r="I136">
        <v>2.7228333333333401</v>
      </c>
      <c r="J136">
        <v>50.661999999999303</v>
      </c>
      <c r="K136">
        <v>1.4379999999999999</v>
      </c>
      <c r="L136" t="s">
        <v>16</v>
      </c>
      <c r="M136">
        <v>0.2</v>
      </c>
      <c r="N136">
        <v>0.3</v>
      </c>
      <c r="O136" t="str">
        <f t="shared" si="2"/>
        <v>0.2,0.3</v>
      </c>
    </row>
    <row r="137" spans="1:15">
      <c r="A137">
        <v>18</v>
      </c>
      <c r="B137">
        <v>2</v>
      </c>
      <c r="C137">
        <v>1</v>
      </c>
      <c r="D137">
        <v>44.959999999999503</v>
      </c>
      <c r="E137">
        <v>60.698000000000199</v>
      </c>
      <c r="F137">
        <v>37.281444444443999</v>
      </c>
      <c r="G137">
        <v>51.760444444446399</v>
      </c>
      <c r="H137">
        <v>3.23</v>
      </c>
      <c r="I137">
        <v>2.5522222222222499</v>
      </c>
      <c r="J137">
        <v>48.793999999998903</v>
      </c>
      <c r="K137">
        <v>1.1180000000000001</v>
      </c>
      <c r="L137" t="s">
        <v>16</v>
      </c>
      <c r="M137">
        <v>0.2</v>
      </c>
      <c r="N137">
        <v>0.3</v>
      </c>
      <c r="O137" t="str">
        <f t="shared" si="2"/>
        <v>0.2,0.3</v>
      </c>
    </row>
    <row r="138" spans="1:15">
      <c r="A138">
        <v>12</v>
      </c>
      <c r="B138">
        <v>1</v>
      </c>
      <c r="C138">
        <v>1</v>
      </c>
      <c r="D138">
        <v>43.191999999999297</v>
      </c>
      <c r="E138">
        <v>57.122000000000199</v>
      </c>
      <c r="F138">
        <v>35.681833333331397</v>
      </c>
      <c r="G138">
        <v>48.694333333332203</v>
      </c>
      <c r="H138">
        <v>3.3039999999999998</v>
      </c>
      <c r="I138">
        <v>1.97966666666666</v>
      </c>
      <c r="J138">
        <v>48.976000000000397</v>
      </c>
      <c r="K138">
        <v>0.59399999999999997</v>
      </c>
      <c r="L138" t="s">
        <v>17</v>
      </c>
      <c r="M138">
        <v>0.2</v>
      </c>
      <c r="N138">
        <v>0.3</v>
      </c>
      <c r="O138" t="str">
        <f t="shared" si="2"/>
        <v>0.2,0.3</v>
      </c>
    </row>
    <row r="139" spans="1:15">
      <c r="A139">
        <v>18</v>
      </c>
      <c r="B139">
        <v>1</v>
      </c>
      <c r="C139">
        <v>1</v>
      </c>
      <c r="D139">
        <v>45.621999999999296</v>
      </c>
      <c r="E139">
        <v>60.236000000000203</v>
      </c>
      <c r="F139">
        <v>38.630999999999801</v>
      </c>
      <c r="G139">
        <v>52.375555555556502</v>
      </c>
      <c r="H139">
        <v>4.6260000000000003</v>
      </c>
      <c r="I139">
        <v>1.76233333333334</v>
      </c>
      <c r="J139">
        <v>46.360000000000198</v>
      </c>
      <c r="K139">
        <v>0.38200000000000001</v>
      </c>
      <c r="L139" t="s">
        <v>17</v>
      </c>
      <c r="M139">
        <v>0.2</v>
      </c>
      <c r="N139">
        <v>0.3</v>
      </c>
      <c r="O139" t="str">
        <f t="shared" si="2"/>
        <v>0.2,0.3</v>
      </c>
    </row>
    <row r="140" spans="1:15">
      <c r="A140">
        <v>12</v>
      </c>
      <c r="B140">
        <v>2</v>
      </c>
      <c r="C140">
        <v>1</v>
      </c>
      <c r="D140">
        <v>42.521999999999302</v>
      </c>
      <c r="E140">
        <v>56.090000000000899</v>
      </c>
      <c r="F140">
        <v>34.681833333331497</v>
      </c>
      <c r="G140">
        <v>46.420833333333597</v>
      </c>
      <c r="H140">
        <v>3.1960000000000002</v>
      </c>
      <c r="I140">
        <v>2.0248333333333299</v>
      </c>
      <c r="J140">
        <v>50.384000000000299</v>
      </c>
      <c r="K140">
        <v>1.208</v>
      </c>
      <c r="L140" t="s">
        <v>17</v>
      </c>
      <c r="M140">
        <v>0.2</v>
      </c>
      <c r="N140">
        <v>0.3</v>
      </c>
      <c r="O140" t="str">
        <f t="shared" si="2"/>
        <v>0.2,0.3</v>
      </c>
    </row>
    <row r="141" spans="1:15">
      <c r="A141">
        <v>18</v>
      </c>
      <c r="B141">
        <v>2</v>
      </c>
      <c r="C141">
        <v>1</v>
      </c>
      <c r="D141">
        <v>44.825999999998999</v>
      </c>
      <c r="E141">
        <v>58.8940000000011</v>
      </c>
      <c r="F141">
        <v>37.330888888888701</v>
      </c>
      <c r="G141">
        <v>49.7812222222245</v>
      </c>
      <c r="H141">
        <v>4.3979999999999997</v>
      </c>
      <c r="I141">
        <v>1.77922222222224</v>
      </c>
      <c r="J141">
        <v>48.086000000000098</v>
      </c>
      <c r="K141">
        <v>1.03</v>
      </c>
      <c r="L141" t="s">
        <v>17</v>
      </c>
      <c r="M141">
        <v>0.2</v>
      </c>
      <c r="N141">
        <v>0.3</v>
      </c>
      <c r="O141" t="str">
        <f t="shared" si="2"/>
        <v>0.2,0.3</v>
      </c>
    </row>
    <row r="142" spans="1:15">
      <c r="A142">
        <v>12</v>
      </c>
      <c r="B142">
        <v>1</v>
      </c>
      <c r="C142">
        <v>1</v>
      </c>
      <c r="D142">
        <v>46.143999999999401</v>
      </c>
      <c r="E142">
        <v>59.6439999999997</v>
      </c>
      <c r="F142">
        <v>36.978166666664897</v>
      </c>
      <c r="G142">
        <v>50.3171666666655</v>
      </c>
      <c r="H142">
        <v>2.0979999999999999</v>
      </c>
      <c r="I142">
        <v>3.0321666666667002</v>
      </c>
      <c r="J142">
        <v>41.085999999999899</v>
      </c>
      <c r="K142">
        <v>0.74</v>
      </c>
      <c r="L142" t="s">
        <v>11</v>
      </c>
      <c r="M142">
        <v>0.2</v>
      </c>
      <c r="N142">
        <v>0.4</v>
      </c>
      <c r="O142" t="str">
        <f t="shared" si="2"/>
        <v>0.2,0.4</v>
      </c>
    </row>
    <row r="143" spans="1:15">
      <c r="A143">
        <v>18</v>
      </c>
      <c r="B143">
        <v>1</v>
      </c>
      <c r="C143">
        <v>1</v>
      </c>
      <c r="D143">
        <v>49.1599999999993</v>
      </c>
      <c r="E143">
        <v>62.959999999999702</v>
      </c>
      <c r="F143">
        <v>40.132666666666303</v>
      </c>
      <c r="G143">
        <v>53.733333333334102</v>
      </c>
      <c r="H143">
        <v>2.74</v>
      </c>
      <c r="I143">
        <v>2.6176666666666999</v>
      </c>
      <c r="J143">
        <v>41.887999999999899</v>
      </c>
      <c r="K143">
        <v>0.57399999999999995</v>
      </c>
      <c r="L143" t="s">
        <v>11</v>
      </c>
      <c r="M143">
        <v>0.2</v>
      </c>
      <c r="N143">
        <v>0.4</v>
      </c>
      <c r="O143" t="str">
        <f t="shared" si="2"/>
        <v>0.2,0.4</v>
      </c>
    </row>
    <row r="144" spans="1:15">
      <c r="A144">
        <v>12</v>
      </c>
      <c r="B144">
        <v>2</v>
      </c>
      <c r="C144">
        <v>1</v>
      </c>
      <c r="D144">
        <v>43.849999999999199</v>
      </c>
      <c r="E144">
        <v>58.714000000000802</v>
      </c>
      <c r="F144">
        <v>35.837666666664603</v>
      </c>
      <c r="G144">
        <v>49.082333333333303</v>
      </c>
      <c r="H144">
        <v>1.956</v>
      </c>
      <c r="I144">
        <v>2.8773333333333602</v>
      </c>
      <c r="J144">
        <v>50.064</v>
      </c>
      <c r="K144">
        <v>1.70399999999999</v>
      </c>
      <c r="L144" t="s">
        <v>11</v>
      </c>
      <c r="M144">
        <v>0.2</v>
      </c>
      <c r="N144">
        <v>0.4</v>
      </c>
      <c r="O144" t="str">
        <f t="shared" si="2"/>
        <v>0.2,0.4</v>
      </c>
    </row>
    <row r="145" spans="1:15">
      <c r="A145">
        <v>18</v>
      </c>
      <c r="B145">
        <v>2</v>
      </c>
      <c r="C145">
        <v>1</v>
      </c>
      <c r="D145">
        <v>46.285999999999099</v>
      </c>
      <c r="E145">
        <v>61.124000000000599</v>
      </c>
      <c r="F145">
        <v>38.754444444444303</v>
      </c>
      <c r="G145">
        <v>52.700777777779898</v>
      </c>
      <c r="H145">
        <v>2.5179999999999998</v>
      </c>
      <c r="I145">
        <v>2.58511111111115</v>
      </c>
      <c r="J145">
        <v>47.739999999999696</v>
      </c>
      <c r="K145">
        <v>1.226</v>
      </c>
      <c r="L145" t="s">
        <v>11</v>
      </c>
      <c r="M145">
        <v>0.2</v>
      </c>
      <c r="N145">
        <v>0.4</v>
      </c>
      <c r="O145" t="str">
        <f t="shared" si="2"/>
        <v>0.2,0.4</v>
      </c>
    </row>
    <row r="146" spans="1:15">
      <c r="A146">
        <v>12</v>
      </c>
      <c r="B146">
        <v>1</v>
      </c>
      <c r="C146">
        <v>1</v>
      </c>
      <c r="D146">
        <v>45.117999999999498</v>
      </c>
      <c r="E146">
        <v>58.389999999999603</v>
      </c>
      <c r="F146">
        <v>37.502333333331102</v>
      </c>
      <c r="G146">
        <v>50.579333333331597</v>
      </c>
      <c r="H146">
        <v>2.206</v>
      </c>
      <c r="I146">
        <v>3.0368333333333601</v>
      </c>
      <c r="J146">
        <v>47.8919999999993</v>
      </c>
      <c r="K146">
        <v>0.66</v>
      </c>
      <c r="L146" t="s">
        <v>12</v>
      </c>
      <c r="M146">
        <v>0.2</v>
      </c>
      <c r="N146">
        <v>0.4</v>
      </c>
      <c r="O146" t="str">
        <f t="shared" si="2"/>
        <v>0.2,0.4</v>
      </c>
    </row>
    <row r="147" spans="1:15">
      <c r="A147">
        <v>18</v>
      </c>
      <c r="B147">
        <v>1</v>
      </c>
      <c r="C147">
        <v>1</v>
      </c>
      <c r="D147">
        <v>47.021999999999302</v>
      </c>
      <c r="E147">
        <v>60.547999999999298</v>
      </c>
      <c r="F147">
        <v>40.336888888889</v>
      </c>
      <c r="G147">
        <v>53.478444444445103</v>
      </c>
      <c r="H147">
        <v>2.976</v>
      </c>
      <c r="I147">
        <v>2.8238888888889302</v>
      </c>
      <c r="J147">
        <v>45.763999999999498</v>
      </c>
      <c r="K147">
        <v>0.442</v>
      </c>
      <c r="L147" t="s">
        <v>12</v>
      </c>
      <c r="M147">
        <v>0.2</v>
      </c>
      <c r="N147">
        <v>0.4</v>
      </c>
      <c r="O147" t="str">
        <f t="shared" si="2"/>
        <v>0.2,0.4</v>
      </c>
    </row>
    <row r="148" spans="1:15">
      <c r="A148">
        <v>12</v>
      </c>
      <c r="B148">
        <v>2</v>
      </c>
      <c r="C148">
        <v>1</v>
      </c>
      <c r="D148">
        <v>44.203999999999503</v>
      </c>
      <c r="E148">
        <v>59.392000000000202</v>
      </c>
      <c r="F148">
        <v>36.095333333331197</v>
      </c>
      <c r="G148">
        <v>49.936500000000002</v>
      </c>
      <c r="H148">
        <v>2.0840000000000001</v>
      </c>
      <c r="I148">
        <v>3.28583333333337</v>
      </c>
      <c r="J148">
        <v>49.341999999999302</v>
      </c>
      <c r="K148">
        <v>1.9159999999999899</v>
      </c>
      <c r="L148" t="s">
        <v>12</v>
      </c>
      <c r="M148">
        <v>0.2</v>
      </c>
      <c r="N148">
        <v>0.4</v>
      </c>
      <c r="O148" t="str">
        <f t="shared" si="2"/>
        <v>0.2,0.4</v>
      </c>
    </row>
    <row r="149" spans="1:15">
      <c r="A149">
        <v>18</v>
      </c>
      <c r="B149">
        <v>2</v>
      </c>
      <c r="C149">
        <v>1</v>
      </c>
      <c r="D149">
        <v>46.045999999999303</v>
      </c>
      <c r="E149">
        <v>61.75</v>
      </c>
      <c r="F149">
        <v>38.632222222221998</v>
      </c>
      <c r="G149">
        <v>53.496222222224503</v>
      </c>
      <c r="H149">
        <v>2.9319999999999999</v>
      </c>
      <c r="I149">
        <v>2.97688888888894</v>
      </c>
      <c r="J149">
        <v>47.555999999999102</v>
      </c>
      <c r="K149">
        <v>1.4019999999999999</v>
      </c>
      <c r="L149" t="s">
        <v>12</v>
      </c>
      <c r="M149">
        <v>0.2</v>
      </c>
      <c r="N149">
        <v>0.4</v>
      </c>
      <c r="O149" t="str">
        <f t="shared" si="2"/>
        <v>0.2,0.4</v>
      </c>
    </row>
    <row r="150" spans="1:15">
      <c r="A150">
        <v>12</v>
      </c>
      <c r="B150">
        <v>1</v>
      </c>
      <c r="C150">
        <v>1</v>
      </c>
      <c r="D150">
        <v>42.437999999999001</v>
      </c>
      <c r="E150">
        <v>56.553999999999199</v>
      </c>
      <c r="F150">
        <v>27.166333333331401</v>
      </c>
      <c r="G150">
        <v>39.948333333331398</v>
      </c>
      <c r="H150">
        <v>3.754</v>
      </c>
      <c r="I150">
        <v>4.8075000000000303</v>
      </c>
      <c r="J150">
        <v>55.647999999997502</v>
      </c>
      <c r="K150">
        <v>0.61799999999999999</v>
      </c>
      <c r="L150" t="s">
        <v>13</v>
      </c>
      <c r="M150">
        <v>0.2</v>
      </c>
      <c r="N150">
        <v>0.4</v>
      </c>
      <c r="O150" t="str">
        <f t="shared" si="2"/>
        <v>0.2,0.4</v>
      </c>
    </row>
    <row r="151" spans="1:15">
      <c r="A151">
        <v>18</v>
      </c>
      <c r="B151">
        <v>1</v>
      </c>
      <c r="C151">
        <v>1</v>
      </c>
      <c r="D151">
        <v>45.653999999998902</v>
      </c>
      <c r="E151">
        <v>60.195999999998598</v>
      </c>
      <c r="F151">
        <v>29.425444444442601</v>
      </c>
      <c r="G151">
        <v>42.242777777776801</v>
      </c>
      <c r="H151">
        <v>4.3479999999999999</v>
      </c>
      <c r="I151">
        <v>5.2034444444445596</v>
      </c>
      <c r="J151">
        <v>53.7419999999982</v>
      </c>
      <c r="K151">
        <v>0.42799999999999999</v>
      </c>
      <c r="L151" t="s">
        <v>13</v>
      </c>
      <c r="M151">
        <v>0.2</v>
      </c>
      <c r="N151">
        <v>0.4</v>
      </c>
      <c r="O151" t="str">
        <f t="shared" si="2"/>
        <v>0.2,0.4</v>
      </c>
    </row>
    <row r="152" spans="1:15">
      <c r="A152">
        <v>12</v>
      </c>
      <c r="B152">
        <v>2</v>
      </c>
      <c r="C152">
        <v>1</v>
      </c>
      <c r="D152">
        <v>42.301999999999801</v>
      </c>
      <c r="E152">
        <v>59.986000000000097</v>
      </c>
      <c r="F152">
        <v>28.512666666664799</v>
      </c>
      <c r="G152">
        <v>47.833666666665202</v>
      </c>
      <c r="H152">
        <v>3.3759999999999999</v>
      </c>
      <c r="I152">
        <v>4.6998333333333804</v>
      </c>
      <c r="J152">
        <v>53.113999999998001</v>
      </c>
      <c r="K152">
        <v>2.0319999999999898</v>
      </c>
      <c r="L152" t="s">
        <v>13</v>
      </c>
      <c r="M152">
        <v>0.2</v>
      </c>
      <c r="N152">
        <v>0.4</v>
      </c>
      <c r="O152" t="str">
        <f t="shared" si="2"/>
        <v>0.2,0.4</v>
      </c>
    </row>
    <row r="153" spans="1:15">
      <c r="A153">
        <v>18</v>
      </c>
      <c r="B153">
        <v>2</v>
      </c>
      <c r="C153">
        <v>1</v>
      </c>
      <c r="D153">
        <v>45.419999999999597</v>
      </c>
      <c r="E153">
        <v>64.187999999999803</v>
      </c>
      <c r="F153">
        <v>30.920888888887099</v>
      </c>
      <c r="G153">
        <v>52.584444444444699</v>
      </c>
      <c r="H153">
        <v>4.1559999999999997</v>
      </c>
      <c r="I153">
        <v>5.2193333333334504</v>
      </c>
      <c r="J153">
        <v>51.125999999998697</v>
      </c>
      <c r="K153">
        <v>1.53</v>
      </c>
      <c r="L153" t="s">
        <v>13</v>
      </c>
      <c r="M153">
        <v>0.2</v>
      </c>
      <c r="N153">
        <v>0.4</v>
      </c>
      <c r="O153" t="str">
        <f t="shared" si="2"/>
        <v>0.2,0.4</v>
      </c>
    </row>
    <row r="154" spans="1:15">
      <c r="A154">
        <v>12</v>
      </c>
      <c r="B154">
        <v>1</v>
      </c>
      <c r="C154">
        <v>1</v>
      </c>
      <c r="D154">
        <v>45.2519999999992</v>
      </c>
      <c r="E154">
        <v>59.215999999999703</v>
      </c>
      <c r="F154">
        <v>34.848833333331598</v>
      </c>
      <c r="G154">
        <v>48.255333333332104</v>
      </c>
      <c r="H154">
        <v>2.6560000000000001</v>
      </c>
      <c r="I154">
        <v>2.9641666666667099</v>
      </c>
      <c r="J154">
        <v>42.874000000000002</v>
      </c>
      <c r="K154">
        <v>0.90600000000000003</v>
      </c>
      <c r="L154" t="s">
        <v>14</v>
      </c>
      <c r="M154">
        <v>0.2</v>
      </c>
      <c r="N154">
        <v>0.4</v>
      </c>
      <c r="O154" t="str">
        <f t="shared" si="2"/>
        <v>0.2,0.4</v>
      </c>
    </row>
    <row r="155" spans="1:15">
      <c r="A155">
        <v>18</v>
      </c>
      <c r="B155">
        <v>1</v>
      </c>
      <c r="C155">
        <v>1</v>
      </c>
      <c r="D155">
        <v>48.823999999998897</v>
      </c>
      <c r="E155">
        <v>63.263999999999903</v>
      </c>
      <c r="F155">
        <v>38.006333333333899</v>
      </c>
      <c r="G155">
        <v>51.528333333333499</v>
      </c>
      <c r="H155">
        <v>3.9460000000000002</v>
      </c>
      <c r="I155">
        <v>2.4678888888889601</v>
      </c>
      <c r="J155">
        <v>39.182000000000002</v>
      </c>
      <c r="K155">
        <v>0.746</v>
      </c>
      <c r="L155" t="s">
        <v>14</v>
      </c>
      <c r="M155">
        <v>0.2</v>
      </c>
      <c r="N155">
        <v>0.4</v>
      </c>
      <c r="O155" t="str">
        <f t="shared" si="2"/>
        <v>0.2,0.4</v>
      </c>
    </row>
    <row r="156" spans="1:15">
      <c r="A156">
        <v>12</v>
      </c>
      <c r="B156">
        <v>2</v>
      </c>
      <c r="C156">
        <v>1</v>
      </c>
      <c r="D156">
        <v>44.673999999999701</v>
      </c>
      <c r="E156">
        <v>63.386000000000102</v>
      </c>
      <c r="F156">
        <v>33.9443333333315</v>
      </c>
      <c r="G156">
        <v>49.968166666666598</v>
      </c>
      <c r="H156">
        <v>2.4159999999999999</v>
      </c>
      <c r="I156">
        <v>3.9476666666667599</v>
      </c>
      <c r="J156">
        <v>41.380000000000102</v>
      </c>
      <c r="K156">
        <v>2.5539999999999798</v>
      </c>
      <c r="L156" t="s">
        <v>14</v>
      </c>
      <c r="M156">
        <v>0.2</v>
      </c>
      <c r="N156">
        <v>0.4</v>
      </c>
      <c r="O156" t="str">
        <f t="shared" si="2"/>
        <v>0.2,0.4</v>
      </c>
    </row>
    <row r="157" spans="1:15">
      <c r="A157">
        <v>18</v>
      </c>
      <c r="B157">
        <v>2</v>
      </c>
      <c r="C157">
        <v>1</v>
      </c>
      <c r="D157">
        <v>47.301999999999197</v>
      </c>
      <c r="E157">
        <v>66.680000000000405</v>
      </c>
      <c r="F157">
        <v>36.899555555555096</v>
      </c>
      <c r="G157">
        <v>53.213777777778702</v>
      </c>
      <c r="H157">
        <v>3.202</v>
      </c>
      <c r="I157">
        <v>3.4481111111112202</v>
      </c>
      <c r="J157">
        <v>38.093999999999902</v>
      </c>
      <c r="K157">
        <v>2.0839999999999899</v>
      </c>
      <c r="L157" t="s">
        <v>14</v>
      </c>
      <c r="M157">
        <v>0.2</v>
      </c>
      <c r="N157">
        <v>0.4</v>
      </c>
      <c r="O157" t="str">
        <f t="shared" si="2"/>
        <v>0.2,0.4</v>
      </c>
    </row>
    <row r="158" spans="1:15">
      <c r="A158">
        <v>12</v>
      </c>
      <c r="B158">
        <v>1</v>
      </c>
      <c r="C158">
        <v>1</v>
      </c>
      <c r="D158">
        <v>45.719999999999203</v>
      </c>
      <c r="E158">
        <v>59.185999999998799</v>
      </c>
      <c r="F158">
        <v>37.213999999997903</v>
      </c>
      <c r="G158">
        <v>50.991499999998297</v>
      </c>
      <c r="H158">
        <v>1.708</v>
      </c>
      <c r="I158">
        <v>4.7696666666666898</v>
      </c>
      <c r="J158">
        <v>46.539999999999303</v>
      </c>
      <c r="K158">
        <v>0.76600000000000001</v>
      </c>
      <c r="L158" t="s">
        <v>15</v>
      </c>
      <c r="M158">
        <v>0.2</v>
      </c>
      <c r="N158">
        <v>0.4</v>
      </c>
      <c r="O158" t="str">
        <f t="shared" si="2"/>
        <v>0.2,0.4</v>
      </c>
    </row>
    <row r="159" spans="1:15">
      <c r="A159">
        <v>18</v>
      </c>
      <c r="B159">
        <v>1</v>
      </c>
      <c r="C159">
        <v>1</v>
      </c>
      <c r="D159">
        <v>47.813999999999197</v>
      </c>
      <c r="E159">
        <v>61.611999999998901</v>
      </c>
      <c r="F159">
        <v>40.043888888888802</v>
      </c>
      <c r="G159">
        <v>53.743777777778199</v>
      </c>
      <c r="H159">
        <v>2.2200000000000002</v>
      </c>
      <c r="I159">
        <v>4.37144444444451</v>
      </c>
      <c r="J159">
        <v>44.559999999999697</v>
      </c>
      <c r="K159">
        <v>0.49</v>
      </c>
      <c r="L159" t="s">
        <v>15</v>
      </c>
      <c r="M159">
        <v>0.2</v>
      </c>
      <c r="N159">
        <v>0.4</v>
      </c>
      <c r="O159" t="str">
        <f t="shared" si="2"/>
        <v>0.2,0.4</v>
      </c>
    </row>
    <row r="160" spans="1:15">
      <c r="A160">
        <v>12</v>
      </c>
      <c r="B160">
        <v>2</v>
      </c>
      <c r="C160">
        <v>1</v>
      </c>
      <c r="D160">
        <v>44.915999999999599</v>
      </c>
      <c r="E160">
        <v>61.365999999999303</v>
      </c>
      <c r="F160">
        <v>35.950333333331201</v>
      </c>
      <c r="G160">
        <v>51.709333333333298</v>
      </c>
      <c r="H160">
        <v>1.69</v>
      </c>
      <c r="I160">
        <v>5.0635000000000296</v>
      </c>
      <c r="J160">
        <v>47.469999999999096</v>
      </c>
      <c r="K160">
        <v>2.2239999999999802</v>
      </c>
      <c r="L160" t="s">
        <v>15</v>
      </c>
      <c r="M160">
        <v>0.2</v>
      </c>
      <c r="N160">
        <v>0.4</v>
      </c>
      <c r="O160" t="str">
        <f t="shared" si="2"/>
        <v>0.2,0.4</v>
      </c>
    </row>
    <row r="161" spans="1:15">
      <c r="A161">
        <v>18</v>
      </c>
      <c r="B161">
        <v>2</v>
      </c>
      <c r="C161">
        <v>1</v>
      </c>
      <c r="D161">
        <v>46.791999999999298</v>
      </c>
      <c r="E161">
        <v>63.601999999999698</v>
      </c>
      <c r="F161">
        <v>38.781444444444297</v>
      </c>
      <c r="G161">
        <v>55.263111111113403</v>
      </c>
      <c r="H161">
        <v>2.1379999999999999</v>
      </c>
      <c r="I161">
        <v>4.57966666666674</v>
      </c>
      <c r="J161">
        <v>45.193999999999598</v>
      </c>
      <c r="K161">
        <v>1.6439999999999899</v>
      </c>
      <c r="L161" t="s">
        <v>15</v>
      </c>
      <c r="M161">
        <v>0.2</v>
      </c>
      <c r="N161">
        <v>0.4</v>
      </c>
      <c r="O161" t="str">
        <f t="shared" si="2"/>
        <v>0.2,0.4</v>
      </c>
    </row>
    <row r="162" spans="1:15">
      <c r="A162">
        <v>12</v>
      </c>
      <c r="B162">
        <v>1</v>
      </c>
      <c r="C162">
        <v>1</v>
      </c>
      <c r="D162">
        <v>44.9799999999994</v>
      </c>
      <c r="E162">
        <v>58.335999999999402</v>
      </c>
      <c r="F162">
        <v>36.7981666666645</v>
      </c>
      <c r="G162">
        <v>49.867333333331601</v>
      </c>
      <c r="H162">
        <v>2.0019999999999998</v>
      </c>
      <c r="I162">
        <v>3.39050000000003</v>
      </c>
      <c r="J162">
        <v>48.225999999998997</v>
      </c>
      <c r="K162">
        <v>0.64800000000000002</v>
      </c>
      <c r="L162" t="s">
        <v>16</v>
      </c>
      <c r="M162">
        <v>0.2</v>
      </c>
      <c r="N162">
        <v>0.4</v>
      </c>
      <c r="O162" t="str">
        <f t="shared" si="2"/>
        <v>0.2,0.4</v>
      </c>
    </row>
    <row r="163" spans="1:15">
      <c r="A163">
        <v>18</v>
      </c>
      <c r="B163">
        <v>1</v>
      </c>
      <c r="C163">
        <v>1</v>
      </c>
      <c r="D163">
        <v>47.041999999999298</v>
      </c>
      <c r="E163">
        <v>60.8279999999993</v>
      </c>
      <c r="F163">
        <v>39.383888888888798</v>
      </c>
      <c r="G163">
        <v>52.503555555555899</v>
      </c>
      <c r="H163">
        <v>2.5419999999999998</v>
      </c>
      <c r="I163">
        <v>3.1514444444444898</v>
      </c>
      <c r="J163">
        <v>46.057999999999403</v>
      </c>
      <c r="K163">
        <v>0.374</v>
      </c>
      <c r="L163" t="s">
        <v>16</v>
      </c>
      <c r="M163">
        <v>0.2</v>
      </c>
      <c r="N163">
        <v>0.4</v>
      </c>
      <c r="O163" t="str">
        <f t="shared" si="2"/>
        <v>0.2,0.4</v>
      </c>
    </row>
    <row r="164" spans="1:15">
      <c r="A164">
        <v>12</v>
      </c>
      <c r="B164">
        <v>2</v>
      </c>
      <c r="C164">
        <v>1</v>
      </c>
      <c r="D164">
        <v>44.2019999999997</v>
      </c>
      <c r="E164">
        <v>59.863999999999997</v>
      </c>
      <c r="F164">
        <v>35.548833333331203</v>
      </c>
      <c r="G164">
        <v>49.808333333333302</v>
      </c>
      <c r="H164">
        <v>1.944</v>
      </c>
      <c r="I164">
        <v>3.5806666666667</v>
      </c>
      <c r="J164">
        <v>49.205999999998802</v>
      </c>
      <c r="K164">
        <v>1.94799999999999</v>
      </c>
      <c r="L164" t="s">
        <v>16</v>
      </c>
      <c r="M164">
        <v>0.2</v>
      </c>
      <c r="N164">
        <v>0.4</v>
      </c>
      <c r="O164" t="str">
        <f t="shared" si="2"/>
        <v>0.2,0.4</v>
      </c>
    </row>
    <row r="165" spans="1:15">
      <c r="A165">
        <v>18</v>
      </c>
      <c r="B165">
        <v>2</v>
      </c>
      <c r="C165">
        <v>1</v>
      </c>
      <c r="D165">
        <v>46.081999999999397</v>
      </c>
      <c r="E165">
        <v>62.395999999999901</v>
      </c>
      <c r="F165">
        <v>38.107666666666503</v>
      </c>
      <c r="G165">
        <v>53.424000000002202</v>
      </c>
      <c r="H165">
        <v>2.5019999999999998</v>
      </c>
      <c r="I165">
        <v>3.2930000000000499</v>
      </c>
      <c r="J165">
        <v>46.923999999999303</v>
      </c>
      <c r="K165">
        <v>1.538</v>
      </c>
      <c r="L165" t="s">
        <v>16</v>
      </c>
      <c r="M165">
        <v>0.2</v>
      </c>
      <c r="N165">
        <v>0.4</v>
      </c>
      <c r="O165" t="str">
        <f t="shared" si="2"/>
        <v>0.2,0.4</v>
      </c>
    </row>
    <row r="166" spans="1:15">
      <c r="A166">
        <v>12</v>
      </c>
      <c r="B166">
        <v>1</v>
      </c>
      <c r="C166">
        <v>1</v>
      </c>
      <c r="D166">
        <v>44.937999999999498</v>
      </c>
      <c r="E166">
        <v>58.083999999999698</v>
      </c>
      <c r="F166">
        <v>37.362166666664599</v>
      </c>
      <c r="G166">
        <v>50.246333333331897</v>
      </c>
      <c r="H166">
        <v>3.0459999999999998</v>
      </c>
      <c r="I166">
        <v>2.6190000000000202</v>
      </c>
      <c r="J166">
        <v>46.886000000000003</v>
      </c>
      <c r="K166">
        <v>0.61399999999999999</v>
      </c>
      <c r="L166" t="s">
        <v>17</v>
      </c>
      <c r="M166">
        <v>0.2</v>
      </c>
      <c r="N166">
        <v>0.4</v>
      </c>
      <c r="O166" t="str">
        <f t="shared" si="2"/>
        <v>0.2,0.4</v>
      </c>
    </row>
    <row r="167" spans="1:15">
      <c r="A167">
        <v>18</v>
      </c>
      <c r="B167">
        <v>1</v>
      </c>
      <c r="C167">
        <v>1</v>
      </c>
      <c r="D167">
        <v>47.175999999999398</v>
      </c>
      <c r="E167">
        <v>60.7139999999997</v>
      </c>
      <c r="F167">
        <v>40.196222222222097</v>
      </c>
      <c r="G167">
        <v>53.217666666667398</v>
      </c>
      <c r="H167">
        <v>4.2539999999999996</v>
      </c>
      <c r="I167">
        <v>2.2275555555555799</v>
      </c>
      <c r="J167">
        <v>43.832000000000001</v>
      </c>
      <c r="K167">
        <v>0.36799999999999999</v>
      </c>
      <c r="L167" t="s">
        <v>17</v>
      </c>
      <c r="M167">
        <v>0.2</v>
      </c>
      <c r="N167">
        <v>0.4</v>
      </c>
      <c r="O167" t="str">
        <f t="shared" si="2"/>
        <v>0.2,0.4</v>
      </c>
    </row>
    <row r="168" spans="1:15">
      <c r="A168">
        <v>12</v>
      </c>
      <c r="B168">
        <v>2</v>
      </c>
      <c r="C168">
        <v>1</v>
      </c>
      <c r="D168">
        <v>43.6539999999994</v>
      </c>
      <c r="E168">
        <v>58.530000000000598</v>
      </c>
      <c r="F168">
        <v>35.545166666664599</v>
      </c>
      <c r="G168">
        <v>48.722666666666697</v>
      </c>
      <c r="H168">
        <v>2.8919999999999999</v>
      </c>
      <c r="I168">
        <v>2.7405000000000199</v>
      </c>
      <c r="J168">
        <v>49.211999999999797</v>
      </c>
      <c r="K168">
        <v>1.69999999999999</v>
      </c>
      <c r="L168" t="s">
        <v>17</v>
      </c>
      <c r="M168">
        <v>0.2</v>
      </c>
      <c r="N168">
        <v>0.4</v>
      </c>
      <c r="O168" t="str">
        <f t="shared" si="2"/>
        <v>0.2,0.4</v>
      </c>
    </row>
    <row r="169" spans="1:15">
      <c r="A169">
        <v>18</v>
      </c>
      <c r="B169">
        <v>2</v>
      </c>
      <c r="C169">
        <v>1</v>
      </c>
      <c r="D169">
        <v>45.801999999999097</v>
      </c>
      <c r="E169">
        <v>60.924000000000703</v>
      </c>
      <c r="F169">
        <v>38.307333333333098</v>
      </c>
      <c r="G169">
        <v>51.7842222222244</v>
      </c>
      <c r="H169">
        <v>4.0720000000000001</v>
      </c>
      <c r="I169">
        <v>2.3016666666667001</v>
      </c>
      <c r="J169">
        <v>45.961999999999897</v>
      </c>
      <c r="K169">
        <v>1.3560000000000001</v>
      </c>
      <c r="L169" t="s">
        <v>17</v>
      </c>
      <c r="M169">
        <v>0.2</v>
      </c>
      <c r="N169">
        <v>0.4</v>
      </c>
      <c r="O169" t="str">
        <f t="shared" si="2"/>
        <v>0.2,0.4</v>
      </c>
    </row>
    <row r="170" spans="1:15">
      <c r="A170">
        <v>12</v>
      </c>
      <c r="B170">
        <v>1</v>
      </c>
      <c r="C170">
        <v>1</v>
      </c>
      <c r="D170">
        <v>43.6839999999996</v>
      </c>
      <c r="E170">
        <v>57.992000000001099</v>
      </c>
      <c r="F170">
        <v>36.629499999998501</v>
      </c>
      <c r="G170">
        <v>49.609499999999699</v>
      </c>
      <c r="H170">
        <v>5.8319999999999999</v>
      </c>
      <c r="I170">
        <v>1.4386666666666601</v>
      </c>
      <c r="J170">
        <v>49.958000000000503</v>
      </c>
      <c r="K170">
        <v>0.39800000000000002</v>
      </c>
      <c r="L170" t="s">
        <v>11</v>
      </c>
      <c r="M170">
        <v>0.3</v>
      </c>
      <c r="N170">
        <v>0.2</v>
      </c>
      <c r="O170" t="str">
        <f t="shared" si="2"/>
        <v>0.3,0.2</v>
      </c>
    </row>
    <row r="171" spans="1:15">
      <c r="A171">
        <v>18</v>
      </c>
      <c r="B171">
        <v>1</v>
      </c>
      <c r="C171">
        <v>1</v>
      </c>
      <c r="D171">
        <v>45.767999999999702</v>
      </c>
      <c r="E171">
        <v>60.420000000000996</v>
      </c>
      <c r="F171">
        <v>39.475777777777999</v>
      </c>
      <c r="G171">
        <v>53.0188888888907</v>
      </c>
      <c r="H171">
        <v>7.2460000000000004</v>
      </c>
      <c r="I171">
        <v>1.2602222222222199</v>
      </c>
      <c r="J171">
        <v>48.8200000000001</v>
      </c>
      <c r="K171">
        <v>0.25600000000000001</v>
      </c>
      <c r="L171" t="s">
        <v>11</v>
      </c>
      <c r="M171">
        <v>0.3</v>
      </c>
      <c r="N171">
        <v>0.2</v>
      </c>
      <c r="O171" t="str">
        <f t="shared" si="2"/>
        <v>0.3,0.2</v>
      </c>
    </row>
    <row r="172" spans="1:15">
      <c r="A172">
        <v>12</v>
      </c>
      <c r="B172">
        <v>2</v>
      </c>
      <c r="C172">
        <v>1</v>
      </c>
      <c r="D172">
        <v>42.691999999999403</v>
      </c>
      <c r="E172">
        <v>54.408000000001302</v>
      </c>
      <c r="F172">
        <v>35.746999999998501</v>
      </c>
      <c r="G172">
        <v>45.753000000000398</v>
      </c>
      <c r="H172">
        <v>5.3120000000000003</v>
      </c>
      <c r="I172">
        <v>1.4944999999999999</v>
      </c>
      <c r="J172">
        <v>52.188000000000798</v>
      </c>
      <c r="K172">
        <v>0.754</v>
      </c>
      <c r="L172" t="s">
        <v>11</v>
      </c>
      <c r="M172">
        <v>0.3</v>
      </c>
      <c r="N172">
        <v>0.2</v>
      </c>
      <c r="O172" t="str">
        <f t="shared" si="2"/>
        <v>0.3,0.2</v>
      </c>
    </row>
    <row r="173" spans="1:15">
      <c r="A173">
        <v>18</v>
      </c>
      <c r="B173">
        <v>2</v>
      </c>
      <c r="C173">
        <v>1</v>
      </c>
      <c r="D173">
        <v>44.733999999999298</v>
      </c>
      <c r="E173">
        <v>57.258000000001303</v>
      </c>
      <c r="F173">
        <v>38.542444444444499</v>
      </c>
      <c r="G173">
        <v>49.723222222224599</v>
      </c>
      <c r="H173">
        <v>6.532</v>
      </c>
      <c r="I173">
        <v>1.2972222222222201</v>
      </c>
      <c r="J173">
        <v>50.255999999999901</v>
      </c>
      <c r="K173">
        <v>0.44</v>
      </c>
      <c r="L173" t="s">
        <v>11</v>
      </c>
      <c r="M173">
        <v>0.3</v>
      </c>
      <c r="N173">
        <v>0.2</v>
      </c>
      <c r="O173" t="str">
        <f t="shared" si="2"/>
        <v>0.3,0.2</v>
      </c>
    </row>
    <row r="174" spans="1:15">
      <c r="A174">
        <v>12</v>
      </c>
      <c r="B174">
        <v>1</v>
      </c>
      <c r="C174">
        <v>1</v>
      </c>
      <c r="D174">
        <v>43.427999999999599</v>
      </c>
      <c r="E174">
        <v>57.990000000000798</v>
      </c>
      <c r="F174">
        <v>36.932333333331599</v>
      </c>
      <c r="G174">
        <v>50.037833333332898</v>
      </c>
      <c r="H174">
        <v>6.048</v>
      </c>
      <c r="I174">
        <v>1.5953333333333299</v>
      </c>
      <c r="J174">
        <v>50.229999999999897</v>
      </c>
      <c r="K174">
        <v>0.4</v>
      </c>
      <c r="L174" t="s">
        <v>12</v>
      </c>
      <c r="M174">
        <v>0.3</v>
      </c>
      <c r="N174">
        <v>0.2</v>
      </c>
      <c r="O174" t="str">
        <f t="shared" si="2"/>
        <v>0.3,0.2</v>
      </c>
    </row>
    <row r="175" spans="1:15">
      <c r="A175">
        <v>18</v>
      </c>
      <c r="B175">
        <v>1</v>
      </c>
      <c r="C175">
        <v>1</v>
      </c>
      <c r="D175">
        <v>45.255999999999702</v>
      </c>
      <c r="E175">
        <v>60.092000000000397</v>
      </c>
      <c r="F175">
        <v>39.642555555555703</v>
      </c>
      <c r="G175">
        <v>53.472222222223998</v>
      </c>
      <c r="H175">
        <v>7.5640000000000001</v>
      </c>
      <c r="I175">
        <v>1.33988888888889</v>
      </c>
      <c r="J175">
        <v>48.081999999999603</v>
      </c>
      <c r="K175">
        <v>0.224</v>
      </c>
      <c r="L175" t="s">
        <v>12</v>
      </c>
      <c r="M175">
        <v>0.3</v>
      </c>
      <c r="N175">
        <v>0.2</v>
      </c>
      <c r="O175" t="str">
        <f t="shared" si="2"/>
        <v>0.3,0.2</v>
      </c>
    </row>
    <row r="176" spans="1:15">
      <c r="A176">
        <v>12</v>
      </c>
      <c r="B176">
        <v>2</v>
      </c>
      <c r="C176">
        <v>1</v>
      </c>
      <c r="D176">
        <v>42.535999999999298</v>
      </c>
      <c r="E176">
        <v>54.7840000000012</v>
      </c>
      <c r="F176">
        <v>35.640333333331597</v>
      </c>
      <c r="G176">
        <v>46.033500000000302</v>
      </c>
      <c r="H176">
        <v>6.0119999999999996</v>
      </c>
      <c r="I176">
        <v>1.6014999999999899</v>
      </c>
      <c r="J176">
        <v>52.238000000000198</v>
      </c>
      <c r="K176">
        <v>0.72</v>
      </c>
      <c r="L176" t="s">
        <v>12</v>
      </c>
      <c r="M176">
        <v>0.3</v>
      </c>
      <c r="N176">
        <v>0.2</v>
      </c>
      <c r="O176" t="str">
        <f t="shared" si="2"/>
        <v>0.3,0.2</v>
      </c>
    </row>
    <row r="177" spans="1:15">
      <c r="A177">
        <v>18</v>
      </c>
      <c r="B177">
        <v>2</v>
      </c>
      <c r="C177">
        <v>1</v>
      </c>
      <c r="D177">
        <v>44.047999999999298</v>
      </c>
      <c r="E177">
        <v>56.396000000001003</v>
      </c>
      <c r="F177">
        <v>38.146666666666803</v>
      </c>
      <c r="G177">
        <v>49.021444444446601</v>
      </c>
      <c r="H177">
        <v>7.13</v>
      </c>
      <c r="I177">
        <v>1.32233333333333</v>
      </c>
      <c r="J177">
        <v>50.1079999999994</v>
      </c>
      <c r="K177">
        <v>0.52</v>
      </c>
      <c r="L177" t="s">
        <v>12</v>
      </c>
      <c r="M177">
        <v>0.3</v>
      </c>
      <c r="N177">
        <v>0.2</v>
      </c>
      <c r="O177" t="str">
        <f t="shared" si="2"/>
        <v>0.3,0.2</v>
      </c>
    </row>
    <row r="178" spans="1:15">
      <c r="A178">
        <v>12</v>
      </c>
      <c r="B178">
        <v>1</v>
      </c>
      <c r="C178">
        <v>1</v>
      </c>
      <c r="D178">
        <v>43.459999999999603</v>
      </c>
      <c r="E178">
        <v>62.177999999998598</v>
      </c>
      <c r="F178">
        <v>28.226333333330899</v>
      </c>
      <c r="G178">
        <v>47.177666666665097</v>
      </c>
      <c r="H178">
        <v>5.07</v>
      </c>
      <c r="I178">
        <v>8.3373333333334205</v>
      </c>
      <c r="J178">
        <v>58.003999999999301</v>
      </c>
      <c r="K178">
        <v>0.85799999999999998</v>
      </c>
      <c r="L178" t="s">
        <v>13</v>
      </c>
      <c r="M178">
        <v>0.3</v>
      </c>
      <c r="N178">
        <v>0.2</v>
      </c>
      <c r="O178" t="str">
        <f t="shared" si="2"/>
        <v>0.3,0.2</v>
      </c>
    </row>
    <row r="179" spans="1:15">
      <c r="A179">
        <v>18</v>
      </c>
      <c r="B179">
        <v>1</v>
      </c>
      <c r="C179">
        <v>1</v>
      </c>
      <c r="D179">
        <v>45.091999999999402</v>
      </c>
      <c r="E179">
        <v>64.183999999998903</v>
      </c>
      <c r="F179">
        <v>31.318222222220299</v>
      </c>
      <c r="G179">
        <v>50.429333333332302</v>
      </c>
      <c r="H179">
        <v>5.96</v>
      </c>
      <c r="I179">
        <v>7.1514444444447296</v>
      </c>
      <c r="J179">
        <v>54.537999999999002</v>
      </c>
      <c r="K179">
        <v>0.42399999999999999</v>
      </c>
      <c r="L179" t="s">
        <v>13</v>
      </c>
      <c r="M179">
        <v>0.3</v>
      </c>
      <c r="N179">
        <v>0.2</v>
      </c>
      <c r="O179" t="str">
        <f t="shared" si="2"/>
        <v>0.3,0.2</v>
      </c>
    </row>
    <row r="180" spans="1:15">
      <c r="A180">
        <v>12</v>
      </c>
      <c r="B180">
        <v>2</v>
      </c>
      <c r="C180">
        <v>1</v>
      </c>
      <c r="D180">
        <v>43.851999999999897</v>
      </c>
      <c r="E180">
        <v>62.887999999999401</v>
      </c>
      <c r="F180">
        <v>29.113666666664301</v>
      </c>
      <c r="G180">
        <v>51.759999999998598</v>
      </c>
      <c r="H180">
        <v>4.7880000000000003</v>
      </c>
      <c r="I180">
        <v>8.5845000000000606</v>
      </c>
      <c r="J180">
        <v>56.479999999999201</v>
      </c>
      <c r="K180">
        <v>1.6419999999999999</v>
      </c>
      <c r="L180" t="s">
        <v>13</v>
      </c>
      <c r="M180">
        <v>0.3</v>
      </c>
      <c r="N180">
        <v>0.2</v>
      </c>
      <c r="O180" t="str">
        <f t="shared" si="2"/>
        <v>0.3,0.2</v>
      </c>
    </row>
    <row r="181" spans="1:15">
      <c r="A181">
        <v>18</v>
      </c>
      <c r="B181">
        <v>2</v>
      </c>
      <c r="C181">
        <v>1</v>
      </c>
      <c r="D181">
        <v>44.863999999999599</v>
      </c>
      <c r="E181">
        <v>64.395999999999603</v>
      </c>
      <c r="F181">
        <v>31.996111111109201</v>
      </c>
      <c r="G181">
        <v>55.892888888888201</v>
      </c>
      <c r="H181">
        <v>5.5919999999999996</v>
      </c>
      <c r="I181">
        <v>7.2192222222225304</v>
      </c>
      <c r="J181">
        <v>53.515999999999003</v>
      </c>
      <c r="K181">
        <v>0.84</v>
      </c>
      <c r="L181" t="s">
        <v>13</v>
      </c>
      <c r="M181">
        <v>0.3</v>
      </c>
      <c r="N181">
        <v>0.2</v>
      </c>
      <c r="O181" t="str">
        <f t="shared" si="2"/>
        <v>0.3,0.2</v>
      </c>
    </row>
    <row r="182" spans="1:15">
      <c r="A182">
        <v>12</v>
      </c>
      <c r="B182">
        <v>1</v>
      </c>
      <c r="C182">
        <v>1</v>
      </c>
      <c r="D182">
        <v>41.383999999999098</v>
      </c>
      <c r="E182">
        <v>57.478000000000499</v>
      </c>
      <c r="F182">
        <v>33.026499999998499</v>
      </c>
      <c r="G182">
        <v>46.946333333333101</v>
      </c>
      <c r="H182">
        <v>11.534000000000001</v>
      </c>
      <c r="I182">
        <v>2.0568333333333402</v>
      </c>
      <c r="J182">
        <v>46.010000000000602</v>
      </c>
      <c r="K182">
        <v>0.65800000000000003</v>
      </c>
      <c r="L182" t="s">
        <v>14</v>
      </c>
      <c r="M182">
        <v>0.3</v>
      </c>
      <c r="N182">
        <v>0.2</v>
      </c>
      <c r="O182" t="str">
        <f t="shared" si="2"/>
        <v>0.3,0.2</v>
      </c>
    </row>
    <row r="183" spans="1:15">
      <c r="A183">
        <v>18</v>
      </c>
      <c r="B183">
        <v>1</v>
      </c>
      <c r="C183">
        <v>1</v>
      </c>
      <c r="D183">
        <v>44.483999999999</v>
      </c>
      <c r="E183">
        <v>60.8560000000003</v>
      </c>
      <c r="F183">
        <v>36.010000000000602</v>
      </c>
      <c r="G183">
        <v>50.396555555556198</v>
      </c>
      <c r="H183">
        <v>13.114000000000001</v>
      </c>
      <c r="I183">
        <v>1.8465555555555999</v>
      </c>
      <c r="J183">
        <v>43.16</v>
      </c>
      <c r="K183">
        <v>0.502</v>
      </c>
      <c r="L183" t="s">
        <v>14</v>
      </c>
      <c r="M183">
        <v>0.3</v>
      </c>
      <c r="N183">
        <v>0.2</v>
      </c>
      <c r="O183" t="str">
        <f t="shared" si="2"/>
        <v>0.3,0.2</v>
      </c>
    </row>
    <row r="184" spans="1:15">
      <c r="A184">
        <v>12</v>
      </c>
      <c r="B184">
        <v>2</v>
      </c>
      <c r="C184">
        <v>1</v>
      </c>
      <c r="D184">
        <v>41.161999999999701</v>
      </c>
      <c r="E184">
        <v>57.664000000000499</v>
      </c>
      <c r="F184">
        <v>32.315166666665199</v>
      </c>
      <c r="G184">
        <v>45.730166666666697</v>
      </c>
      <c r="H184">
        <v>10.736000000000001</v>
      </c>
      <c r="I184">
        <v>2.7473333333333598</v>
      </c>
      <c r="J184">
        <v>44.556000000000402</v>
      </c>
      <c r="K184">
        <v>1.3660000000000001</v>
      </c>
      <c r="L184" t="s">
        <v>14</v>
      </c>
      <c r="M184">
        <v>0.3</v>
      </c>
      <c r="N184">
        <v>0.2</v>
      </c>
      <c r="O184" t="str">
        <f t="shared" si="2"/>
        <v>0.3,0.2</v>
      </c>
    </row>
    <row r="185" spans="1:15">
      <c r="A185">
        <v>18</v>
      </c>
      <c r="B185">
        <v>2</v>
      </c>
      <c r="C185">
        <v>1</v>
      </c>
      <c r="D185">
        <v>44.149999999999501</v>
      </c>
      <c r="E185">
        <v>61.390000000000498</v>
      </c>
      <c r="F185">
        <v>35.560666666666897</v>
      </c>
      <c r="G185">
        <v>49.651666666667701</v>
      </c>
      <c r="H185">
        <v>11.85</v>
      </c>
      <c r="I185">
        <v>2.5042222222222899</v>
      </c>
      <c r="J185">
        <v>41.125999999999799</v>
      </c>
      <c r="K185">
        <v>1.05</v>
      </c>
      <c r="L185" t="s">
        <v>14</v>
      </c>
      <c r="M185">
        <v>0.3</v>
      </c>
      <c r="N185">
        <v>0.2</v>
      </c>
      <c r="O185" t="str">
        <f t="shared" si="2"/>
        <v>0.3,0.2</v>
      </c>
    </row>
    <row r="186" spans="1:15">
      <c r="A186">
        <v>12</v>
      </c>
      <c r="B186">
        <v>1</v>
      </c>
      <c r="C186">
        <v>1</v>
      </c>
      <c r="D186">
        <v>43.779999999999397</v>
      </c>
      <c r="E186">
        <v>59.068000000000197</v>
      </c>
      <c r="F186">
        <v>37.247499999997601</v>
      </c>
      <c r="G186">
        <v>51.389499999999103</v>
      </c>
      <c r="H186">
        <v>6.1239999999999997</v>
      </c>
      <c r="I186">
        <v>2.1363333333333299</v>
      </c>
      <c r="J186">
        <v>49.593999999999198</v>
      </c>
      <c r="K186">
        <v>0.41199999999999998</v>
      </c>
      <c r="L186" t="s">
        <v>15</v>
      </c>
      <c r="M186">
        <v>0.3</v>
      </c>
      <c r="N186">
        <v>0.2</v>
      </c>
      <c r="O186" t="str">
        <f t="shared" si="2"/>
        <v>0.3,0.2</v>
      </c>
    </row>
    <row r="187" spans="1:15">
      <c r="A187">
        <v>18</v>
      </c>
      <c r="B187">
        <v>1</v>
      </c>
      <c r="C187">
        <v>1</v>
      </c>
      <c r="D187">
        <v>45.497999999999301</v>
      </c>
      <c r="E187">
        <v>60.954000000000001</v>
      </c>
      <c r="F187">
        <v>40.219444444444399</v>
      </c>
      <c r="G187">
        <v>54.900666666668201</v>
      </c>
      <c r="H187">
        <v>7.2060000000000004</v>
      </c>
      <c r="I187">
        <v>1.9003333333333501</v>
      </c>
      <c r="J187">
        <v>47.655999999999104</v>
      </c>
      <c r="K187">
        <v>0.248</v>
      </c>
      <c r="L187" t="s">
        <v>15</v>
      </c>
      <c r="M187">
        <v>0.3</v>
      </c>
      <c r="N187">
        <v>0.2</v>
      </c>
      <c r="O187" t="str">
        <f t="shared" si="2"/>
        <v>0.3,0.2</v>
      </c>
    </row>
    <row r="188" spans="1:15">
      <c r="A188">
        <v>12</v>
      </c>
      <c r="B188">
        <v>2</v>
      </c>
      <c r="C188">
        <v>1</v>
      </c>
      <c r="D188">
        <v>43.211999999999399</v>
      </c>
      <c r="E188">
        <v>56.466000000000797</v>
      </c>
      <c r="F188">
        <v>36.590999999997798</v>
      </c>
      <c r="G188">
        <v>48.347499999999897</v>
      </c>
      <c r="H188">
        <v>5.8659999999999997</v>
      </c>
      <c r="I188">
        <v>2.2370000000000001</v>
      </c>
      <c r="J188">
        <v>50.409999999999201</v>
      </c>
      <c r="K188">
        <v>0.88400000000000001</v>
      </c>
      <c r="L188" t="s">
        <v>15</v>
      </c>
      <c r="M188">
        <v>0.3</v>
      </c>
      <c r="N188">
        <v>0.2</v>
      </c>
      <c r="O188" t="str">
        <f t="shared" si="2"/>
        <v>0.3,0.2</v>
      </c>
    </row>
    <row r="189" spans="1:15">
      <c r="A189">
        <v>18</v>
      </c>
      <c r="B189">
        <v>2</v>
      </c>
      <c r="C189">
        <v>1</v>
      </c>
      <c r="D189">
        <v>44.757999999999299</v>
      </c>
      <c r="E189">
        <v>58.2820000000007</v>
      </c>
      <c r="F189">
        <v>39.046666666666503</v>
      </c>
      <c r="G189">
        <v>51.452111111113197</v>
      </c>
      <c r="H189">
        <v>6.7759999999999998</v>
      </c>
      <c r="I189">
        <v>1.8792222222222399</v>
      </c>
      <c r="J189">
        <v>49.129999999999001</v>
      </c>
      <c r="K189">
        <v>0.57799999999999996</v>
      </c>
      <c r="L189" t="s">
        <v>15</v>
      </c>
      <c r="M189">
        <v>0.3</v>
      </c>
      <c r="N189">
        <v>0.2</v>
      </c>
      <c r="O189" t="str">
        <f t="shared" si="2"/>
        <v>0.3,0.2</v>
      </c>
    </row>
    <row r="190" spans="1:15">
      <c r="A190">
        <v>12</v>
      </c>
      <c r="B190">
        <v>1</v>
      </c>
      <c r="C190">
        <v>1</v>
      </c>
      <c r="D190">
        <v>40.093999999999703</v>
      </c>
      <c r="E190">
        <v>53.670000000000698</v>
      </c>
      <c r="F190">
        <v>33.964666666665103</v>
      </c>
      <c r="G190">
        <v>46.185666666666101</v>
      </c>
      <c r="H190">
        <v>11.968</v>
      </c>
      <c r="I190">
        <v>1.16749999999999</v>
      </c>
      <c r="J190">
        <v>54.854000000000703</v>
      </c>
      <c r="K190">
        <v>0.29799999999999999</v>
      </c>
      <c r="L190" t="s">
        <v>16</v>
      </c>
      <c r="M190">
        <v>0.3</v>
      </c>
      <c r="N190">
        <v>0.2</v>
      </c>
      <c r="O190" t="str">
        <f t="shared" si="2"/>
        <v>0.3,0.2</v>
      </c>
    </row>
    <row r="191" spans="1:15">
      <c r="A191">
        <v>18</v>
      </c>
      <c r="B191">
        <v>1</v>
      </c>
      <c r="C191">
        <v>1</v>
      </c>
      <c r="D191">
        <v>41.973999999999599</v>
      </c>
      <c r="E191">
        <v>55.9220000000007</v>
      </c>
      <c r="F191">
        <v>36.367333333333399</v>
      </c>
      <c r="G191">
        <v>49.234888888890403</v>
      </c>
      <c r="H191">
        <v>13.186</v>
      </c>
      <c r="I191">
        <v>1.0497777777777799</v>
      </c>
      <c r="J191">
        <v>53.183999999999997</v>
      </c>
      <c r="K191">
        <v>0.22600000000000001</v>
      </c>
      <c r="L191" t="s">
        <v>16</v>
      </c>
      <c r="M191">
        <v>0.3</v>
      </c>
      <c r="N191">
        <v>0.2</v>
      </c>
      <c r="O191" t="str">
        <f t="shared" si="2"/>
        <v>0.3,0.2</v>
      </c>
    </row>
    <row r="192" spans="1:15">
      <c r="A192">
        <v>12</v>
      </c>
      <c r="B192">
        <v>2</v>
      </c>
      <c r="C192">
        <v>1</v>
      </c>
      <c r="D192">
        <v>39.109999999999303</v>
      </c>
      <c r="E192">
        <v>50.616000000000902</v>
      </c>
      <c r="F192">
        <v>33.214666666665202</v>
      </c>
      <c r="G192">
        <v>42.714833333333502</v>
      </c>
      <c r="H192">
        <v>11.603999999999999</v>
      </c>
      <c r="I192">
        <v>1.2086666666666599</v>
      </c>
      <c r="J192">
        <v>56.194000000000898</v>
      </c>
      <c r="K192">
        <v>0.73199999999999998</v>
      </c>
      <c r="L192" t="s">
        <v>16</v>
      </c>
      <c r="M192">
        <v>0.3</v>
      </c>
      <c r="N192">
        <v>0.2</v>
      </c>
      <c r="O192" t="str">
        <f t="shared" si="2"/>
        <v>0.3,0.2</v>
      </c>
    </row>
    <row r="193" spans="1:15">
      <c r="A193">
        <v>18</v>
      </c>
      <c r="B193">
        <v>2</v>
      </c>
      <c r="C193">
        <v>1</v>
      </c>
      <c r="D193">
        <v>40.727999999999398</v>
      </c>
      <c r="E193">
        <v>52.664000000001003</v>
      </c>
      <c r="F193">
        <v>35.242000000000097</v>
      </c>
      <c r="G193">
        <v>45.489222222224299</v>
      </c>
      <c r="H193">
        <v>12.6</v>
      </c>
      <c r="I193">
        <v>1.0117777777777801</v>
      </c>
      <c r="J193">
        <v>54.724000000000103</v>
      </c>
      <c r="K193">
        <v>0.44800000000000001</v>
      </c>
      <c r="L193" t="s">
        <v>16</v>
      </c>
      <c r="M193">
        <v>0.3</v>
      </c>
      <c r="N193">
        <v>0.2</v>
      </c>
      <c r="O193" t="str">
        <f t="shared" si="2"/>
        <v>0.3,0.2</v>
      </c>
    </row>
    <row r="194" spans="1:15">
      <c r="A194">
        <v>12</v>
      </c>
      <c r="B194">
        <v>1</v>
      </c>
      <c r="C194">
        <v>1</v>
      </c>
      <c r="D194">
        <v>40.9699999999997</v>
      </c>
      <c r="E194">
        <v>54.820000000000803</v>
      </c>
      <c r="F194">
        <v>35.520166666665098</v>
      </c>
      <c r="G194">
        <v>48.213333333332699</v>
      </c>
      <c r="H194">
        <v>12.55</v>
      </c>
      <c r="I194">
        <v>1.3111666666666599</v>
      </c>
      <c r="J194">
        <v>52.644000000000602</v>
      </c>
      <c r="K194">
        <v>0.33200000000000002</v>
      </c>
      <c r="L194" t="s">
        <v>17</v>
      </c>
      <c r="M194">
        <v>0.3</v>
      </c>
      <c r="N194">
        <v>0.2</v>
      </c>
      <c r="O194" t="str">
        <f t="shared" si="2"/>
        <v>0.3,0.2</v>
      </c>
    </row>
    <row r="195" spans="1:15">
      <c r="A195">
        <v>18</v>
      </c>
      <c r="B195">
        <v>1</v>
      </c>
      <c r="C195">
        <v>1</v>
      </c>
      <c r="D195">
        <v>42.355999999999902</v>
      </c>
      <c r="E195">
        <v>56.412000000000702</v>
      </c>
      <c r="F195">
        <v>37.525111111111201</v>
      </c>
      <c r="G195">
        <v>50.6852222222238</v>
      </c>
      <c r="H195">
        <v>14.946</v>
      </c>
      <c r="I195">
        <v>1.07544444444444</v>
      </c>
      <c r="J195">
        <v>50.89</v>
      </c>
      <c r="K195">
        <v>0.23400000000000001</v>
      </c>
      <c r="L195" t="s">
        <v>17</v>
      </c>
      <c r="M195">
        <v>0.3</v>
      </c>
      <c r="N195">
        <v>0.2</v>
      </c>
      <c r="O195" t="str">
        <f t="shared" ref="O195:O258" si="3">M195&amp;","&amp;N195</f>
        <v>0.3,0.2</v>
      </c>
    </row>
    <row r="196" spans="1:15">
      <c r="A196">
        <v>12</v>
      </c>
      <c r="B196">
        <v>2</v>
      </c>
      <c r="C196">
        <v>1</v>
      </c>
      <c r="D196">
        <v>40.115999999999502</v>
      </c>
      <c r="E196">
        <v>51.5100000000009</v>
      </c>
      <c r="F196">
        <v>34.353666666665198</v>
      </c>
      <c r="G196">
        <v>44.0836666666669</v>
      </c>
      <c r="H196">
        <v>11.89</v>
      </c>
      <c r="I196">
        <v>1.36466666666666</v>
      </c>
      <c r="J196">
        <v>54.188000000000699</v>
      </c>
      <c r="K196">
        <v>0.70799999999999996</v>
      </c>
      <c r="L196" t="s">
        <v>17</v>
      </c>
      <c r="M196">
        <v>0.3</v>
      </c>
      <c r="N196">
        <v>0.2</v>
      </c>
      <c r="O196" t="str">
        <f t="shared" si="3"/>
        <v>0.3,0.2</v>
      </c>
    </row>
    <row r="197" spans="1:15">
      <c r="A197">
        <v>18</v>
      </c>
      <c r="B197">
        <v>2</v>
      </c>
      <c r="C197">
        <v>1</v>
      </c>
      <c r="D197">
        <v>41.019999999999598</v>
      </c>
      <c r="E197">
        <v>52.6260000000009</v>
      </c>
      <c r="F197">
        <v>36.262444444444597</v>
      </c>
      <c r="G197">
        <v>46.482888888891097</v>
      </c>
      <c r="H197">
        <v>14.25</v>
      </c>
      <c r="I197">
        <v>1.06277777777778</v>
      </c>
      <c r="J197">
        <v>52.710000000000299</v>
      </c>
      <c r="K197">
        <v>0.44800000000000001</v>
      </c>
      <c r="L197" t="s">
        <v>17</v>
      </c>
      <c r="M197">
        <v>0.3</v>
      </c>
      <c r="N197">
        <v>0.2</v>
      </c>
      <c r="O197" t="str">
        <f t="shared" si="3"/>
        <v>0.3,0.2</v>
      </c>
    </row>
    <row r="198" spans="1:15">
      <c r="A198">
        <v>12</v>
      </c>
      <c r="B198">
        <v>1</v>
      </c>
      <c r="C198">
        <v>1</v>
      </c>
      <c r="D198">
        <v>46.535999999999497</v>
      </c>
      <c r="E198">
        <v>60.625999999999998</v>
      </c>
      <c r="F198">
        <v>39.370999999997998</v>
      </c>
      <c r="G198">
        <v>53.087999999998999</v>
      </c>
      <c r="H198">
        <v>3.302</v>
      </c>
      <c r="I198">
        <v>2.8270000000000199</v>
      </c>
      <c r="J198">
        <v>42.7079999999997</v>
      </c>
      <c r="K198">
        <v>0.54</v>
      </c>
      <c r="L198" t="s">
        <v>11</v>
      </c>
      <c r="M198">
        <v>0.3</v>
      </c>
      <c r="N198">
        <v>0.3</v>
      </c>
      <c r="O198" t="str">
        <f t="shared" si="3"/>
        <v>0.3,0.3</v>
      </c>
    </row>
    <row r="199" spans="1:15">
      <c r="A199">
        <v>18</v>
      </c>
      <c r="B199">
        <v>1</v>
      </c>
      <c r="C199">
        <v>1</v>
      </c>
      <c r="D199">
        <v>49.875999999999401</v>
      </c>
      <c r="E199">
        <v>64.150000000000006</v>
      </c>
      <c r="F199">
        <v>42.949111111111201</v>
      </c>
      <c r="G199">
        <v>56.971111111112698</v>
      </c>
      <c r="H199">
        <v>4.43</v>
      </c>
      <c r="I199">
        <v>2.3524444444444601</v>
      </c>
      <c r="J199">
        <v>42.549999999999599</v>
      </c>
      <c r="K199">
        <v>0.38400000000000001</v>
      </c>
      <c r="L199" t="s">
        <v>11</v>
      </c>
      <c r="M199">
        <v>0.3</v>
      </c>
      <c r="N199">
        <v>0.3</v>
      </c>
      <c r="O199" t="str">
        <f t="shared" si="3"/>
        <v>0.3,0.3</v>
      </c>
    </row>
    <row r="200" spans="1:15">
      <c r="A200">
        <v>12</v>
      </c>
      <c r="B200">
        <v>2</v>
      </c>
      <c r="C200">
        <v>1</v>
      </c>
      <c r="D200">
        <v>45.253999999999202</v>
      </c>
      <c r="E200">
        <v>58.528000000001001</v>
      </c>
      <c r="F200">
        <v>38.280833333331103</v>
      </c>
      <c r="G200">
        <v>50.559166666666599</v>
      </c>
      <c r="H200">
        <v>3.0920000000000001</v>
      </c>
      <c r="I200">
        <v>2.66933333333334</v>
      </c>
      <c r="J200">
        <v>48.185999999999503</v>
      </c>
      <c r="K200">
        <v>1.0580000000000001</v>
      </c>
      <c r="L200" t="s">
        <v>11</v>
      </c>
      <c r="M200">
        <v>0.3</v>
      </c>
      <c r="N200">
        <v>0.3</v>
      </c>
      <c r="O200" t="str">
        <f t="shared" si="3"/>
        <v>0.3,0.3</v>
      </c>
    </row>
    <row r="201" spans="1:15">
      <c r="A201">
        <v>18</v>
      </c>
      <c r="B201">
        <v>2</v>
      </c>
      <c r="C201">
        <v>1</v>
      </c>
      <c r="D201">
        <v>47.391999999999001</v>
      </c>
      <c r="E201">
        <v>61.482000000001001</v>
      </c>
      <c r="F201">
        <v>41.1587777777778</v>
      </c>
      <c r="G201">
        <v>54.310444444446901</v>
      </c>
      <c r="H201">
        <v>3.89</v>
      </c>
      <c r="I201">
        <v>2.3542222222222402</v>
      </c>
      <c r="J201">
        <v>47.109999999999403</v>
      </c>
      <c r="K201">
        <v>0.77600000000000002</v>
      </c>
      <c r="L201" t="s">
        <v>11</v>
      </c>
      <c r="M201">
        <v>0.3</v>
      </c>
      <c r="N201">
        <v>0.3</v>
      </c>
      <c r="O201" t="str">
        <f t="shared" si="3"/>
        <v>0.3,0.3</v>
      </c>
    </row>
    <row r="202" spans="1:15">
      <c r="A202">
        <v>12</v>
      </c>
      <c r="B202">
        <v>1</v>
      </c>
      <c r="C202">
        <v>1</v>
      </c>
      <c r="D202">
        <v>45.627999999999702</v>
      </c>
      <c r="E202">
        <v>59.311999999999998</v>
      </c>
      <c r="F202">
        <v>40.146666666664203</v>
      </c>
      <c r="G202">
        <v>53.4226666666653</v>
      </c>
      <c r="H202">
        <v>3.9460000000000002</v>
      </c>
      <c r="I202">
        <v>2.7138333333333402</v>
      </c>
      <c r="J202">
        <v>46.759999999999202</v>
      </c>
      <c r="K202">
        <v>0.46</v>
      </c>
      <c r="L202" t="s">
        <v>12</v>
      </c>
      <c r="M202">
        <v>0.3</v>
      </c>
      <c r="N202">
        <v>0.3</v>
      </c>
      <c r="O202" t="str">
        <f t="shared" si="3"/>
        <v>0.3,0.3</v>
      </c>
    </row>
    <row r="203" spans="1:15">
      <c r="A203">
        <v>18</v>
      </c>
      <c r="B203">
        <v>1</v>
      </c>
      <c r="C203">
        <v>1</v>
      </c>
      <c r="D203">
        <v>47.259999999999302</v>
      </c>
      <c r="E203">
        <v>61.531999999999698</v>
      </c>
      <c r="F203">
        <v>42.487555555555701</v>
      </c>
      <c r="G203">
        <v>56.421777777779297</v>
      </c>
      <c r="H203">
        <v>4.8360000000000003</v>
      </c>
      <c r="I203">
        <v>2.2607777777778</v>
      </c>
      <c r="J203">
        <v>45.879999999999399</v>
      </c>
      <c r="K203">
        <v>0.27600000000000002</v>
      </c>
      <c r="L203" t="s">
        <v>12</v>
      </c>
      <c r="M203">
        <v>0.3</v>
      </c>
      <c r="N203">
        <v>0.3</v>
      </c>
      <c r="O203" t="str">
        <f t="shared" si="3"/>
        <v>0.3,0.3</v>
      </c>
    </row>
    <row r="204" spans="1:15">
      <c r="A204">
        <v>12</v>
      </c>
      <c r="B204">
        <v>2</v>
      </c>
      <c r="C204">
        <v>1</v>
      </c>
      <c r="D204">
        <v>44.627999999999197</v>
      </c>
      <c r="E204">
        <v>57.938000000000699</v>
      </c>
      <c r="F204">
        <v>38.221499999997597</v>
      </c>
      <c r="G204">
        <v>50.562833333333202</v>
      </c>
      <c r="H204">
        <v>3.74</v>
      </c>
      <c r="I204">
        <v>2.7743333333333502</v>
      </c>
      <c r="J204">
        <v>49.285999999999198</v>
      </c>
      <c r="K204">
        <v>1.202</v>
      </c>
      <c r="L204" t="s">
        <v>12</v>
      </c>
      <c r="M204">
        <v>0.3</v>
      </c>
      <c r="N204">
        <v>0.3</v>
      </c>
      <c r="O204" t="str">
        <f t="shared" si="3"/>
        <v>0.3,0.3</v>
      </c>
    </row>
    <row r="205" spans="1:15">
      <c r="A205">
        <v>18</v>
      </c>
      <c r="B205">
        <v>2</v>
      </c>
      <c r="C205">
        <v>1</v>
      </c>
      <c r="D205">
        <v>46.247999999999102</v>
      </c>
      <c r="E205">
        <v>60.306000000000601</v>
      </c>
      <c r="F205">
        <v>40.752666666666599</v>
      </c>
      <c r="G205">
        <v>53.947000000002603</v>
      </c>
      <c r="H205">
        <v>4.82</v>
      </c>
      <c r="I205">
        <v>2.17822222222224</v>
      </c>
      <c r="J205">
        <v>48.097999999998997</v>
      </c>
      <c r="K205">
        <v>0.78800000000000003</v>
      </c>
      <c r="L205" t="s">
        <v>12</v>
      </c>
      <c r="M205">
        <v>0.3</v>
      </c>
      <c r="N205">
        <v>0.3</v>
      </c>
      <c r="O205" t="str">
        <f t="shared" si="3"/>
        <v>0.3,0.3</v>
      </c>
    </row>
    <row r="206" spans="1:15">
      <c r="A206">
        <v>12</v>
      </c>
      <c r="B206">
        <v>1</v>
      </c>
      <c r="C206">
        <v>1</v>
      </c>
      <c r="D206">
        <v>43.755999999999297</v>
      </c>
      <c r="E206">
        <v>59.063999999998401</v>
      </c>
      <c r="F206">
        <v>27.804499999997802</v>
      </c>
      <c r="G206">
        <v>42.962666666665001</v>
      </c>
      <c r="H206">
        <v>6.4180000000000001</v>
      </c>
      <c r="I206">
        <v>7.0510000000000197</v>
      </c>
      <c r="J206">
        <v>54.937999999998297</v>
      </c>
      <c r="K206">
        <v>0.88800000000000001</v>
      </c>
      <c r="L206" t="s">
        <v>13</v>
      </c>
      <c r="M206">
        <v>0.3</v>
      </c>
      <c r="N206">
        <v>0.3</v>
      </c>
      <c r="O206" t="str">
        <f t="shared" si="3"/>
        <v>0.3,0.3</v>
      </c>
    </row>
    <row r="207" spans="1:15">
      <c r="A207">
        <v>18</v>
      </c>
      <c r="B207">
        <v>1</v>
      </c>
      <c r="C207">
        <v>1</v>
      </c>
      <c r="D207">
        <v>45.579999999999202</v>
      </c>
      <c r="E207">
        <v>61.453999999998402</v>
      </c>
      <c r="F207">
        <v>30.708888888887</v>
      </c>
      <c r="G207">
        <v>45.772333333332298</v>
      </c>
      <c r="H207">
        <v>7.3760000000000003</v>
      </c>
      <c r="I207">
        <v>6.6203333333335399</v>
      </c>
      <c r="J207">
        <v>55.493999999998998</v>
      </c>
      <c r="K207">
        <v>0.47799999999999998</v>
      </c>
      <c r="L207" t="s">
        <v>13</v>
      </c>
      <c r="M207">
        <v>0.3</v>
      </c>
      <c r="N207">
        <v>0.3</v>
      </c>
      <c r="O207" t="str">
        <f t="shared" si="3"/>
        <v>0.3,0.3</v>
      </c>
    </row>
    <row r="208" spans="1:15">
      <c r="A208">
        <v>12</v>
      </c>
      <c r="B208">
        <v>2</v>
      </c>
      <c r="C208">
        <v>1</v>
      </c>
      <c r="D208">
        <v>43.6099999999999</v>
      </c>
      <c r="E208">
        <v>62.249999999999297</v>
      </c>
      <c r="F208">
        <v>28.800999999997799</v>
      </c>
      <c r="G208">
        <v>50.2781666666652</v>
      </c>
      <c r="H208">
        <v>6.0140000000000002</v>
      </c>
      <c r="I208">
        <v>7.2625000000000304</v>
      </c>
      <c r="J208">
        <v>52.927999999998598</v>
      </c>
      <c r="K208">
        <v>1.97599999999999</v>
      </c>
      <c r="L208" t="s">
        <v>13</v>
      </c>
      <c r="M208">
        <v>0.3</v>
      </c>
      <c r="N208">
        <v>0.3</v>
      </c>
      <c r="O208" t="str">
        <f t="shared" si="3"/>
        <v>0.3,0.3</v>
      </c>
    </row>
    <row r="209" spans="1:15">
      <c r="A209">
        <v>18</v>
      </c>
      <c r="B209">
        <v>2</v>
      </c>
      <c r="C209">
        <v>1</v>
      </c>
      <c r="D209">
        <v>45.605999999999497</v>
      </c>
      <c r="E209">
        <v>64.687999999999406</v>
      </c>
      <c r="F209">
        <v>31.611222222220199</v>
      </c>
      <c r="G209">
        <v>54.808222222222</v>
      </c>
      <c r="H209">
        <v>6.8879999999999999</v>
      </c>
      <c r="I209">
        <v>6.6003333333335599</v>
      </c>
      <c r="J209">
        <v>54.047999999999099</v>
      </c>
      <c r="K209">
        <v>1.1679999999999999</v>
      </c>
      <c r="L209" t="s">
        <v>13</v>
      </c>
      <c r="M209">
        <v>0.3</v>
      </c>
      <c r="N209">
        <v>0.3</v>
      </c>
      <c r="O209" t="str">
        <f t="shared" si="3"/>
        <v>0.3,0.3</v>
      </c>
    </row>
    <row r="210" spans="1:15">
      <c r="A210">
        <v>12</v>
      </c>
      <c r="B210">
        <v>1</v>
      </c>
      <c r="C210">
        <v>1</v>
      </c>
      <c r="D210">
        <v>46.823999999998797</v>
      </c>
      <c r="E210">
        <v>61.983999999999497</v>
      </c>
      <c r="F210">
        <v>37.1733333333313</v>
      </c>
      <c r="G210">
        <v>51.604166666665598</v>
      </c>
      <c r="H210">
        <v>4.6840000000000002</v>
      </c>
      <c r="I210">
        <v>3.45500000000006</v>
      </c>
      <c r="J210">
        <v>39.027999999999601</v>
      </c>
      <c r="K210">
        <v>0.81599999999999995</v>
      </c>
      <c r="L210" t="s">
        <v>14</v>
      </c>
      <c r="M210">
        <v>0.3</v>
      </c>
      <c r="N210">
        <v>0.3</v>
      </c>
      <c r="O210" t="str">
        <f t="shared" si="3"/>
        <v>0.3,0.3</v>
      </c>
    </row>
    <row r="211" spans="1:15">
      <c r="A211">
        <v>18</v>
      </c>
      <c r="B211">
        <v>1</v>
      </c>
      <c r="C211">
        <v>1</v>
      </c>
      <c r="D211">
        <v>50.115999999998699</v>
      </c>
      <c r="E211">
        <v>65.802000000000007</v>
      </c>
      <c r="F211">
        <v>40.6345555555557</v>
      </c>
      <c r="G211">
        <v>55.195777777778197</v>
      </c>
      <c r="H211">
        <v>6.1980000000000004</v>
      </c>
      <c r="I211">
        <v>2.83722222222231</v>
      </c>
      <c r="J211">
        <v>36.143999999999998</v>
      </c>
      <c r="K211">
        <v>0.65</v>
      </c>
      <c r="L211" t="s">
        <v>14</v>
      </c>
      <c r="M211">
        <v>0.3</v>
      </c>
      <c r="N211">
        <v>0.3</v>
      </c>
      <c r="O211" t="str">
        <f t="shared" si="3"/>
        <v>0.3,0.3</v>
      </c>
    </row>
    <row r="212" spans="1:15">
      <c r="A212">
        <v>12</v>
      </c>
      <c r="B212">
        <v>2</v>
      </c>
      <c r="C212">
        <v>1</v>
      </c>
      <c r="D212">
        <v>46.045999999999403</v>
      </c>
      <c r="E212">
        <v>64.708000000000098</v>
      </c>
      <c r="F212">
        <v>35.894499999997997</v>
      </c>
      <c r="G212">
        <v>52.395833333333201</v>
      </c>
      <c r="H212">
        <v>4.0140000000000002</v>
      </c>
      <c r="I212">
        <v>4.6911666666667902</v>
      </c>
      <c r="J212">
        <v>37.8620000000004</v>
      </c>
      <c r="K212">
        <v>2.2919999999999798</v>
      </c>
      <c r="L212" t="s">
        <v>14</v>
      </c>
      <c r="M212">
        <v>0.3</v>
      </c>
      <c r="N212">
        <v>0.3</v>
      </c>
      <c r="O212" t="str">
        <f t="shared" si="3"/>
        <v>0.3,0.3</v>
      </c>
    </row>
    <row r="213" spans="1:15">
      <c r="A213">
        <v>18</v>
      </c>
      <c r="B213">
        <v>2</v>
      </c>
      <c r="C213">
        <v>1</v>
      </c>
      <c r="D213">
        <v>48.621999999998899</v>
      </c>
      <c r="E213">
        <v>67.400000000000404</v>
      </c>
      <c r="F213">
        <v>39.2692222222217</v>
      </c>
      <c r="G213">
        <v>55.637555555556403</v>
      </c>
      <c r="H213">
        <v>5.5919999999999996</v>
      </c>
      <c r="I213">
        <v>3.8038888888890199</v>
      </c>
      <c r="J213">
        <v>35.946000000000602</v>
      </c>
      <c r="K213">
        <v>1.6859999999999999</v>
      </c>
      <c r="L213" t="s">
        <v>14</v>
      </c>
      <c r="M213">
        <v>0.3</v>
      </c>
      <c r="N213">
        <v>0.3</v>
      </c>
      <c r="O213" t="str">
        <f t="shared" si="3"/>
        <v>0.3,0.3</v>
      </c>
    </row>
    <row r="214" spans="1:15">
      <c r="A214">
        <v>12</v>
      </c>
      <c r="B214">
        <v>1</v>
      </c>
      <c r="C214">
        <v>1</v>
      </c>
      <c r="D214">
        <v>46.011999999999503</v>
      </c>
      <c r="E214">
        <v>59.781999999999798</v>
      </c>
      <c r="F214">
        <v>39.746666666664296</v>
      </c>
      <c r="G214">
        <v>53.157666666665499</v>
      </c>
      <c r="H214">
        <v>2.7519999999999998</v>
      </c>
      <c r="I214">
        <v>3.2856666666666898</v>
      </c>
      <c r="J214">
        <v>45.813999999999403</v>
      </c>
      <c r="K214">
        <v>0.55800000000000005</v>
      </c>
      <c r="L214" t="s">
        <v>15</v>
      </c>
      <c r="M214">
        <v>0.3</v>
      </c>
      <c r="N214">
        <v>0.3</v>
      </c>
      <c r="O214" t="str">
        <f t="shared" si="3"/>
        <v>0.3,0.3</v>
      </c>
    </row>
    <row r="215" spans="1:15">
      <c r="A215">
        <v>18</v>
      </c>
      <c r="B215">
        <v>1</v>
      </c>
      <c r="C215">
        <v>1</v>
      </c>
      <c r="D215">
        <v>48.575999999999397</v>
      </c>
      <c r="E215">
        <v>62.821999999999697</v>
      </c>
      <c r="F215">
        <v>42.833666666666801</v>
      </c>
      <c r="G215">
        <v>56.759222222223499</v>
      </c>
      <c r="H215">
        <v>3.6840000000000002</v>
      </c>
      <c r="I215">
        <v>2.7512222222222502</v>
      </c>
      <c r="J215">
        <v>43.953999999999802</v>
      </c>
      <c r="K215">
        <v>0.30599999999999999</v>
      </c>
      <c r="L215" t="s">
        <v>15</v>
      </c>
      <c r="M215">
        <v>0.3</v>
      </c>
      <c r="N215">
        <v>0.3</v>
      </c>
      <c r="O215" t="str">
        <f t="shared" si="3"/>
        <v>0.3,0.3</v>
      </c>
    </row>
    <row r="216" spans="1:15">
      <c r="A216">
        <v>12</v>
      </c>
      <c r="B216">
        <v>2</v>
      </c>
      <c r="C216">
        <v>1</v>
      </c>
      <c r="D216">
        <v>45.311999999999301</v>
      </c>
      <c r="E216">
        <v>59.602000000000402</v>
      </c>
      <c r="F216">
        <v>38.280499999997602</v>
      </c>
      <c r="G216">
        <v>51.372833333333297</v>
      </c>
      <c r="H216">
        <v>2.6579999999999999</v>
      </c>
      <c r="I216">
        <v>3.3170000000000202</v>
      </c>
      <c r="J216">
        <v>47.767999999999098</v>
      </c>
      <c r="K216">
        <v>1.26</v>
      </c>
      <c r="L216" t="s">
        <v>15</v>
      </c>
      <c r="M216">
        <v>0.3</v>
      </c>
      <c r="N216">
        <v>0.3</v>
      </c>
      <c r="O216" t="str">
        <f t="shared" si="3"/>
        <v>0.3,0.3</v>
      </c>
    </row>
    <row r="217" spans="1:15">
      <c r="A217">
        <v>18</v>
      </c>
      <c r="B217">
        <v>2</v>
      </c>
      <c r="C217">
        <v>1</v>
      </c>
      <c r="D217">
        <v>47.299999999999201</v>
      </c>
      <c r="E217">
        <v>61.906000000000198</v>
      </c>
      <c r="F217">
        <v>41.106777777777701</v>
      </c>
      <c r="G217">
        <v>54.929111111113698</v>
      </c>
      <c r="H217">
        <v>3.5739999999999998</v>
      </c>
      <c r="I217">
        <v>2.87988888888892</v>
      </c>
      <c r="J217">
        <v>46.185999999999403</v>
      </c>
      <c r="K217">
        <v>0.90800000000000003</v>
      </c>
      <c r="L217" t="s">
        <v>15</v>
      </c>
      <c r="M217">
        <v>0.3</v>
      </c>
      <c r="N217">
        <v>0.3</v>
      </c>
      <c r="O217" t="str">
        <f t="shared" si="3"/>
        <v>0.3,0.3</v>
      </c>
    </row>
    <row r="218" spans="1:15">
      <c r="A218">
        <v>12</v>
      </c>
      <c r="B218">
        <v>1</v>
      </c>
      <c r="C218">
        <v>1</v>
      </c>
      <c r="D218">
        <v>43.8879999999996</v>
      </c>
      <c r="E218">
        <v>57.2980000000004</v>
      </c>
      <c r="F218">
        <v>37.069499999998001</v>
      </c>
      <c r="G218">
        <v>49.248499999998899</v>
      </c>
      <c r="H218">
        <v>5.9059999999999997</v>
      </c>
      <c r="I218">
        <v>1.7270000000000001</v>
      </c>
      <c r="J218">
        <v>50.105999999999703</v>
      </c>
      <c r="K218">
        <v>0.44</v>
      </c>
      <c r="L218" t="s">
        <v>16</v>
      </c>
      <c r="M218">
        <v>0.3</v>
      </c>
      <c r="N218">
        <v>0.3</v>
      </c>
      <c r="O218" t="str">
        <f t="shared" si="3"/>
        <v>0.3,0.3</v>
      </c>
    </row>
    <row r="219" spans="1:15">
      <c r="A219">
        <v>18</v>
      </c>
      <c r="B219">
        <v>1</v>
      </c>
      <c r="C219">
        <v>1</v>
      </c>
      <c r="D219">
        <v>46.197999999999702</v>
      </c>
      <c r="E219">
        <v>59.970000000000297</v>
      </c>
      <c r="F219">
        <v>40.064444444444398</v>
      </c>
      <c r="G219">
        <v>52.861666666667901</v>
      </c>
      <c r="H219">
        <v>6.976</v>
      </c>
      <c r="I219">
        <v>1.54355555555556</v>
      </c>
      <c r="J219">
        <v>47.893999999999302</v>
      </c>
      <c r="K219">
        <v>0.26</v>
      </c>
      <c r="L219" t="s">
        <v>16</v>
      </c>
      <c r="M219">
        <v>0.3</v>
      </c>
      <c r="N219">
        <v>0.3</v>
      </c>
      <c r="O219" t="str">
        <f t="shared" si="3"/>
        <v>0.3,0.3</v>
      </c>
    </row>
    <row r="220" spans="1:15">
      <c r="A220">
        <v>12</v>
      </c>
      <c r="B220">
        <v>2</v>
      </c>
      <c r="C220">
        <v>1</v>
      </c>
      <c r="D220">
        <v>43.2699999999993</v>
      </c>
      <c r="E220">
        <v>56.232000000001001</v>
      </c>
      <c r="F220">
        <v>35.772333333331602</v>
      </c>
      <c r="G220">
        <v>46.7325000000003</v>
      </c>
      <c r="H220">
        <v>5.4580000000000002</v>
      </c>
      <c r="I220">
        <v>1.82033333333333</v>
      </c>
      <c r="J220">
        <v>51.979999999999698</v>
      </c>
      <c r="K220">
        <v>1.0900000000000001</v>
      </c>
      <c r="L220" t="s">
        <v>16</v>
      </c>
      <c r="M220">
        <v>0.3</v>
      </c>
      <c r="N220">
        <v>0.3</v>
      </c>
      <c r="O220" t="str">
        <f t="shared" si="3"/>
        <v>0.3,0.3</v>
      </c>
    </row>
    <row r="221" spans="1:15">
      <c r="A221">
        <v>18</v>
      </c>
      <c r="B221">
        <v>2</v>
      </c>
      <c r="C221">
        <v>1</v>
      </c>
      <c r="D221">
        <v>45.427999999999201</v>
      </c>
      <c r="E221">
        <v>59.026000000000899</v>
      </c>
      <c r="F221">
        <v>38.7393333333331</v>
      </c>
      <c r="G221">
        <v>50.680333333335803</v>
      </c>
      <c r="H221">
        <v>6.5359999999999996</v>
      </c>
      <c r="I221">
        <v>1.5785555555555599</v>
      </c>
      <c r="J221">
        <v>49.547999999999199</v>
      </c>
      <c r="K221">
        <v>0.78</v>
      </c>
      <c r="L221" t="s">
        <v>16</v>
      </c>
      <c r="M221">
        <v>0.3</v>
      </c>
      <c r="N221">
        <v>0.3</v>
      </c>
      <c r="O221" t="str">
        <f t="shared" si="3"/>
        <v>0.3,0.3</v>
      </c>
    </row>
    <row r="222" spans="1:15">
      <c r="A222">
        <v>12</v>
      </c>
      <c r="B222">
        <v>1</v>
      </c>
      <c r="C222">
        <v>1</v>
      </c>
      <c r="D222">
        <v>42.123999999999803</v>
      </c>
      <c r="E222">
        <v>54.878000000000497</v>
      </c>
      <c r="F222">
        <v>36.2763333333316</v>
      </c>
      <c r="G222">
        <v>47.947999999999098</v>
      </c>
      <c r="H222">
        <v>10.724</v>
      </c>
      <c r="I222">
        <v>1.2771666666666599</v>
      </c>
      <c r="J222">
        <v>51.762000000000498</v>
      </c>
      <c r="K222">
        <v>0.37</v>
      </c>
      <c r="L222" t="s">
        <v>17</v>
      </c>
      <c r="M222">
        <v>0.3</v>
      </c>
      <c r="N222">
        <v>0.3</v>
      </c>
      <c r="O222" t="str">
        <f t="shared" si="3"/>
        <v>0.3,0.3</v>
      </c>
    </row>
    <row r="223" spans="1:15">
      <c r="A223">
        <v>18</v>
      </c>
      <c r="B223">
        <v>1</v>
      </c>
      <c r="C223">
        <v>1</v>
      </c>
      <c r="D223">
        <v>43.831999999999802</v>
      </c>
      <c r="E223">
        <v>56.878000000000696</v>
      </c>
      <c r="F223">
        <v>38.814111111111302</v>
      </c>
      <c r="G223">
        <v>50.984444444445899</v>
      </c>
      <c r="H223">
        <v>12.754</v>
      </c>
      <c r="I223">
        <v>1.0248888888888901</v>
      </c>
      <c r="J223">
        <v>50.468000000000004</v>
      </c>
      <c r="K223">
        <v>0.2</v>
      </c>
      <c r="L223" t="s">
        <v>17</v>
      </c>
      <c r="M223">
        <v>0.3</v>
      </c>
      <c r="N223">
        <v>0.3</v>
      </c>
      <c r="O223" t="str">
        <f t="shared" si="3"/>
        <v>0.3,0.3</v>
      </c>
    </row>
    <row r="224" spans="1:15">
      <c r="A224">
        <v>12</v>
      </c>
      <c r="B224">
        <v>2</v>
      </c>
      <c r="C224">
        <v>1</v>
      </c>
      <c r="D224">
        <v>41.4979999999996</v>
      </c>
      <c r="E224">
        <v>52.980000000001297</v>
      </c>
      <c r="F224">
        <v>35.0223333333319</v>
      </c>
      <c r="G224">
        <v>44.815500000000299</v>
      </c>
      <c r="H224">
        <v>9.9179999999999993</v>
      </c>
      <c r="I224">
        <v>1.3318333333333301</v>
      </c>
      <c r="J224">
        <v>53.778000000000702</v>
      </c>
      <c r="K224">
        <v>0.86199999999999999</v>
      </c>
      <c r="L224" t="s">
        <v>17</v>
      </c>
      <c r="M224">
        <v>0.3</v>
      </c>
      <c r="N224">
        <v>0.3</v>
      </c>
      <c r="O224" t="str">
        <f t="shared" si="3"/>
        <v>0.3,0.3</v>
      </c>
    </row>
    <row r="225" spans="1:15">
      <c r="A225">
        <v>18</v>
      </c>
      <c r="B225">
        <v>2</v>
      </c>
      <c r="C225">
        <v>1</v>
      </c>
      <c r="D225">
        <v>43.039999999999601</v>
      </c>
      <c r="E225">
        <v>54.936000000001201</v>
      </c>
      <c r="F225">
        <v>37.621555555555801</v>
      </c>
      <c r="G225">
        <v>48.088888888891503</v>
      </c>
      <c r="H225">
        <v>11.74</v>
      </c>
      <c r="I225">
        <v>1.08</v>
      </c>
      <c r="J225">
        <v>51.884000000000199</v>
      </c>
      <c r="K225">
        <v>0.63</v>
      </c>
      <c r="L225" t="s">
        <v>17</v>
      </c>
      <c r="M225">
        <v>0.3</v>
      </c>
      <c r="N225">
        <v>0.3</v>
      </c>
      <c r="O225" t="str">
        <f t="shared" si="3"/>
        <v>0.3,0.3</v>
      </c>
    </row>
    <row r="226" spans="1:15">
      <c r="A226">
        <v>12</v>
      </c>
      <c r="B226">
        <v>1</v>
      </c>
      <c r="C226">
        <v>1</v>
      </c>
      <c r="D226">
        <v>47.435999999999503</v>
      </c>
      <c r="E226">
        <v>60.169999999999803</v>
      </c>
      <c r="F226">
        <v>38.918999999998199</v>
      </c>
      <c r="G226">
        <v>51.209833333332298</v>
      </c>
      <c r="H226">
        <v>4.12</v>
      </c>
      <c r="I226">
        <v>2.40483333333334</v>
      </c>
      <c r="J226">
        <v>41.44</v>
      </c>
      <c r="K226">
        <v>0.68400000000000005</v>
      </c>
      <c r="L226" t="s">
        <v>11</v>
      </c>
      <c r="M226">
        <v>0.3</v>
      </c>
      <c r="N226">
        <v>0.4</v>
      </c>
      <c r="O226" t="str">
        <f t="shared" si="3"/>
        <v>0.3,0.4</v>
      </c>
    </row>
    <row r="227" spans="1:15">
      <c r="A227">
        <v>18</v>
      </c>
      <c r="B227">
        <v>1</v>
      </c>
      <c r="C227">
        <v>1</v>
      </c>
      <c r="D227">
        <v>50.707999999999302</v>
      </c>
      <c r="E227">
        <v>63.645999999999802</v>
      </c>
      <c r="F227">
        <v>42.330777777777797</v>
      </c>
      <c r="G227">
        <v>54.916555555556698</v>
      </c>
      <c r="H227">
        <v>5.1379999999999999</v>
      </c>
      <c r="I227">
        <v>2.0615555555555698</v>
      </c>
      <c r="J227">
        <v>41.553999999999803</v>
      </c>
      <c r="K227">
        <v>0.434</v>
      </c>
      <c r="L227" t="s">
        <v>11</v>
      </c>
      <c r="M227">
        <v>0.3</v>
      </c>
      <c r="N227">
        <v>0.4</v>
      </c>
      <c r="O227" t="str">
        <f t="shared" si="3"/>
        <v>0.3,0.4</v>
      </c>
    </row>
    <row r="228" spans="1:15">
      <c r="A228">
        <v>12</v>
      </c>
      <c r="B228">
        <v>2</v>
      </c>
      <c r="C228">
        <v>1</v>
      </c>
      <c r="D228">
        <v>45.429999999999097</v>
      </c>
      <c r="E228">
        <v>58.672000000001098</v>
      </c>
      <c r="F228">
        <v>37.486499999998003</v>
      </c>
      <c r="G228">
        <v>49.054166666666802</v>
      </c>
      <c r="H228">
        <v>3.6739999999999999</v>
      </c>
      <c r="I228">
        <v>2.0881666666666701</v>
      </c>
      <c r="J228">
        <v>49.7379999999999</v>
      </c>
      <c r="K228">
        <v>1.234</v>
      </c>
      <c r="L228" t="s">
        <v>11</v>
      </c>
      <c r="M228">
        <v>0.3</v>
      </c>
      <c r="N228">
        <v>0.4</v>
      </c>
      <c r="O228" t="str">
        <f t="shared" si="3"/>
        <v>0.3,0.4</v>
      </c>
    </row>
    <row r="229" spans="1:15">
      <c r="A229">
        <v>18</v>
      </c>
      <c r="B229">
        <v>2</v>
      </c>
      <c r="C229">
        <v>1</v>
      </c>
      <c r="D229">
        <v>47.831999999999098</v>
      </c>
      <c r="E229">
        <v>61.542000000001003</v>
      </c>
      <c r="F229">
        <v>40.5542222222224</v>
      </c>
      <c r="G229">
        <v>53.001666666669202</v>
      </c>
      <c r="H229">
        <v>4.5720000000000001</v>
      </c>
      <c r="I229">
        <v>1.86177777777779</v>
      </c>
      <c r="J229">
        <v>47.2479999999996</v>
      </c>
      <c r="K229">
        <v>0.82199999999999995</v>
      </c>
      <c r="L229" t="s">
        <v>11</v>
      </c>
      <c r="M229">
        <v>0.3</v>
      </c>
      <c r="N229">
        <v>0.4</v>
      </c>
      <c r="O229" t="str">
        <f t="shared" si="3"/>
        <v>0.3,0.4</v>
      </c>
    </row>
    <row r="230" spans="1:15">
      <c r="A230">
        <v>12</v>
      </c>
      <c r="B230">
        <v>1</v>
      </c>
      <c r="C230">
        <v>1</v>
      </c>
      <c r="D230">
        <v>46.331999999999802</v>
      </c>
      <c r="E230">
        <v>58.758000000000102</v>
      </c>
      <c r="F230">
        <v>39.730666666664398</v>
      </c>
      <c r="G230">
        <v>51.6233333333319</v>
      </c>
      <c r="H230">
        <v>4.6760000000000002</v>
      </c>
      <c r="I230">
        <v>2.1278333333333301</v>
      </c>
      <c r="J230">
        <v>47.5279999999997</v>
      </c>
      <c r="K230">
        <v>0.53200000000000003</v>
      </c>
      <c r="L230" t="s">
        <v>12</v>
      </c>
      <c r="M230">
        <v>0.3</v>
      </c>
      <c r="N230">
        <v>0.4</v>
      </c>
      <c r="O230" t="str">
        <f t="shared" si="3"/>
        <v>0.3,0.4</v>
      </c>
    </row>
    <row r="231" spans="1:15">
      <c r="A231">
        <v>18</v>
      </c>
      <c r="B231">
        <v>1</v>
      </c>
      <c r="C231">
        <v>1</v>
      </c>
      <c r="D231">
        <v>47.5039999999995</v>
      </c>
      <c r="E231">
        <v>60.243999999999701</v>
      </c>
      <c r="F231">
        <v>42.362555555555801</v>
      </c>
      <c r="G231">
        <v>54.637222222223599</v>
      </c>
      <c r="H231">
        <v>5.7320000000000002</v>
      </c>
      <c r="I231">
        <v>1.8404444444444601</v>
      </c>
      <c r="J231">
        <v>45.989999999999398</v>
      </c>
      <c r="K231">
        <v>0.35799999999999998</v>
      </c>
      <c r="L231" t="s">
        <v>12</v>
      </c>
      <c r="M231">
        <v>0.3</v>
      </c>
      <c r="N231">
        <v>0.4</v>
      </c>
      <c r="O231" t="str">
        <f t="shared" si="3"/>
        <v>0.3,0.4</v>
      </c>
    </row>
    <row r="232" spans="1:15">
      <c r="A232">
        <v>12</v>
      </c>
      <c r="B232">
        <v>2</v>
      </c>
      <c r="C232">
        <v>1</v>
      </c>
      <c r="D232">
        <v>44.807999999999197</v>
      </c>
      <c r="E232">
        <v>58.088000000000697</v>
      </c>
      <c r="F232">
        <v>37.454333333331199</v>
      </c>
      <c r="G232">
        <v>49.031833333333402</v>
      </c>
      <c r="H232">
        <v>4.3559999999999999</v>
      </c>
      <c r="I232">
        <v>2.1225000000000001</v>
      </c>
      <c r="J232">
        <v>50.681999999999398</v>
      </c>
      <c r="K232">
        <v>1.3440000000000001</v>
      </c>
      <c r="L232" t="s">
        <v>12</v>
      </c>
      <c r="M232">
        <v>0.3</v>
      </c>
      <c r="N232">
        <v>0.4</v>
      </c>
      <c r="O232" t="str">
        <f t="shared" si="3"/>
        <v>0.3,0.4</v>
      </c>
    </row>
    <row r="233" spans="1:15">
      <c r="A233">
        <v>18</v>
      </c>
      <c r="B233">
        <v>2</v>
      </c>
      <c r="C233">
        <v>1</v>
      </c>
      <c r="D233">
        <v>46.123999999999199</v>
      </c>
      <c r="E233">
        <v>60.112000000000499</v>
      </c>
      <c r="F233">
        <v>39.970111111111201</v>
      </c>
      <c r="G233">
        <v>52.5056666666692</v>
      </c>
      <c r="H233">
        <v>5.508</v>
      </c>
      <c r="I233">
        <v>1.94977777777779</v>
      </c>
      <c r="J233">
        <v>48.749999999999297</v>
      </c>
      <c r="K233">
        <v>1.0640000000000001</v>
      </c>
      <c r="L233" t="s">
        <v>12</v>
      </c>
      <c r="M233">
        <v>0.3</v>
      </c>
      <c r="N233">
        <v>0.4</v>
      </c>
      <c r="O233" t="str">
        <f t="shared" si="3"/>
        <v>0.3,0.4</v>
      </c>
    </row>
    <row r="234" spans="1:15">
      <c r="A234">
        <v>12</v>
      </c>
      <c r="B234">
        <v>1</v>
      </c>
      <c r="C234">
        <v>1</v>
      </c>
      <c r="D234">
        <v>42.309999999999199</v>
      </c>
      <c r="E234">
        <v>55.445999999999202</v>
      </c>
      <c r="F234">
        <v>26.831166666664799</v>
      </c>
      <c r="G234">
        <v>38.983333333331601</v>
      </c>
      <c r="H234">
        <v>9.2439999999999998</v>
      </c>
      <c r="I234">
        <v>4.7216666666667004</v>
      </c>
      <c r="J234">
        <v>55.827999999997502</v>
      </c>
      <c r="K234">
        <v>0.54600000000000004</v>
      </c>
      <c r="L234" t="s">
        <v>13</v>
      </c>
      <c r="M234">
        <v>0.3</v>
      </c>
      <c r="N234">
        <v>0.4</v>
      </c>
      <c r="O234" t="str">
        <f t="shared" si="3"/>
        <v>0.3,0.4</v>
      </c>
    </row>
    <row r="235" spans="1:15">
      <c r="A235">
        <v>18</v>
      </c>
      <c r="B235">
        <v>1</v>
      </c>
      <c r="C235">
        <v>1</v>
      </c>
      <c r="D235">
        <v>45.247999999999003</v>
      </c>
      <c r="E235">
        <v>58.793999999998803</v>
      </c>
      <c r="F235">
        <v>29.3228888888871</v>
      </c>
      <c r="G235">
        <v>41.458888888888097</v>
      </c>
      <c r="H235">
        <v>10.114000000000001</v>
      </c>
      <c r="I235">
        <v>5.1781111111112299</v>
      </c>
      <c r="J235">
        <v>53.4919999999982</v>
      </c>
      <c r="K235">
        <v>0.372</v>
      </c>
      <c r="L235" t="s">
        <v>13</v>
      </c>
      <c r="M235">
        <v>0.3</v>
      </c>
      <c r="N235">
        <v>0.4</v>
      </c>
      <c r="O235" t="str">
        <f t="shared" si="3"/>
        <v>0.3,0.4</v>
      </c>
    </row>
    <row r="236" spans="1:15">
      <c r="A236">
        <v>12</v>
      </c>
      <c r="B236">
        <v>2</v>
      </c>
      <c r="C236">
        <v>1</v>
      </c>
      <c r="D236">
        <v>42.403999999999897</v>
      </c>
      <c r="E236">
        <v>60.287999999999798</v>
      </c>
      <c r="F236">
        <v>28.273666666664699</v>
      </c>
      <c r="G236">
        <v>47.8034999999986</v>
      </c>
      <c r="H236">
        <v>8.1739999999999995</v>
      </c>
      <c r="I236">
        <v>4.6895000000000397</v>
      </c>
      <c r="J236">
        <v>53.393999999998002</v>
      </c>
      <c r="K236">
        <v>1.8299999999999901</v>
      </c>
      <c r="L236" t="s">
        <v>13</v>
      </c>
      <c r="M236">
        <v>0.3</v>
      </c>
      <c r="N236">
        <v>0.4</v>
      </c>
      <c r="O236" t="str">
        <f t="shared" si="3"/>
        <v>0.3,0.4</v>
      </c>
    </row>
    <row r="237" spans="1:15">
      <c r="A237">
        <v>18</v>
      </c>
      <c r="B237">
        <v>2</v>
      </c>
      <c r="C237">
        <v>1</v>
      </c>
      <c r="D237">
        <v>45.391999999999499</v>
      </c>
      <c r="E237">
        <v>63.713999999999601</v>
      </c>
      <c r="F237">
        <v>30.976999999998199</v>
      </c>
      <c r="G237">
        <v>52.343333333333497</v>
      </c>
      <c r="H237">
        <v>8.8620000000000001</v>
      </c>
      <c r="I237">
        <v>5.1305555555556799</v>
      </c>
      <c r="J237">
        <v>50.757999999998702</v>
      </c>
      <c r="K237">
        <v>1.224</v>
      </c>
      <c r="L237" t="s">
        <v>13</v>
      </c>
      <c r="M237">
        <v>0.3</v>
      </c>
      <c r="N237">
        <v>0.4</v>
      </c>
      <c r="O237" t="str">
        <f t="shared" si="3"/>
        <v>0.3,0.4</v>
      </c>
    </row>
    <row r="238" spans="1:15">
      <c r="A238">
        <v>12</v>
      </c>
      <c r="B238">
        <v>1</v>
      </c>
      <c r="C238">
        <v>1</v>
      </c>
      <c r="D238">
        <v>45.689999999999102</v>
      </c>
      <c r="E238">
        <v>59.211999999999598</v>
      </c>
      <c r="F238">
        <v>35.802333333331497</v>
      </c>
      <c r="G238">
        <v>48.487666666665604</v>
      </c>
      <c r="H238">
        <v>6.98</v>
      </c>
      <c r="I238">
        <v>2.70783333333336</v>
      </c>
      <c r="J238">
        <v>41.923999999999999</v>
      </c>
      <c r="K238">
        <v>0.86599999999999999</v>
      </c>
      <c r="L238" t="s">
        <v>14</v>
      </c>
      <c r="M238">
        <v>0.3</v>
      </c>
      <c r="N238">
        <v>0.4</v>
      </c>
      <c r="O238" t="str">
        <f t="shared" si="3"/>
        <v>0.3,0.4</v>
      </c>
    </row>
    <row r="239" spans="1:15">
      <c r="A239">
        <v>18</v>
      </c>
      <c r="B239">
        <v>1</v>
      </c>
      <c r="C239">
        <v>1</v>
      </c>
      <c r="D239">
        <v>49.193999999999001</v>
      </c>
      <c r="E239">
        <v>63.339999999999698</v>
      </c>
      <c r="F239">
        <v>39.320333333333899</v>
      </c>
      <c r="G239">
        <v>52.379222222222502</v>
      </c>
      <c r="H239">
        <v>8.3620000000000001</v>
      </c>
      <c r="I239">
        <v>2.2383333333333901</v>
      </c>
      <c r="J239">
        <v>38.613999999999699</v>
      </c>
      <c r="K239">
        <v>0.69399999999999995</v>
      </c>
      <c r="L239" t="s">
        <v>14</v>
      </c>
      <c r="M239">
        <v>0.3</v>
      </c>
      <c r="N239">
        <v>0.4</v>
      </c>
      <c r="O239" t="str">
        <f t="shared" si="3"/>
        <v>0.3,0.4</v>
      </c>
    </row>
    <row r="240" spans="1:15">
      <c r="A240">
        <v>12</v>
      </c>
      <c r="B240">
        <v>2</v>
      </c>
      <c r="C240">
        <v>1</v>
      </c>
      <c r="D240">
        <v>45.315999999999597</v>
      </c>
      <c r="E240">
        <v>63.744000000000199</v>
      </c>
      <c r="F240">
        <v>35.063166666664799</v>
      </c>
      <c r="G240">
        <v>50.361666666666601</v>
      </c>
      <c r="H240">
        <v>5.7279999999999998</v>
      </c>
      <c r="I240">
        <v>3.5748333333333999</v>
      </c>
      <c r="J240">
        <v>40.282000000000103</v>
      </c>
      <c r="K240">
        <v>2.3459999999999801</v>
      </c>
      <c r="L240" t="s">
        <v>14</v>
      </c>
      <c r="M240">
        <v>0.3</v>
      </c>
      <c r="N240">
        <v>0.4</v>
      </c>
      <c r="O240" t="str">
        <f t="shared" si="3"/>
        <v>0.3,0.4</v>
      </c>
    </row>
    <row r="241" spans="1:15">
      <c r="A241">
        <v>18</v>
      </c>
      <c r="B241">
        <v>2</v>
      </c>
      <c r="C241">
        <v>1</v>
      </c>
      <c r="D241">
        <v>48.259999999999003</v>
      </c>
      <c r="E241">
        <v>67.058000000000305</v>
      </c>
      <c r="F241">
        <v>38.609777777777502</v>
      </c>
      <c r="G241">
        <v>54.341111111112198</v>
      </c>
      <c r="H241">
        <v>7.0220000000000002</v>
      </c>
      <c r="I241">
        <v>3.0837777777778701</v>
      </c>
      <c r="J241">
        <v>36.744000000000199</v>
      </c>
      <c r="K241">
        <v>1.8259999999999901</v>
      </c>
      <c r="L241" t="s">
        <v>14</v>
      </c>
      <c r="M241">
        <v>0.3</v>
      </c>
      <c r="N241">
        <v>0.4</v>
      </c>
      <c r="O241" t="str">
        <f t="shared" si="3"/>
        <v>0.3,0.4</v>
      </c>
    </row>
    <row r="242" spans="1:15">
      <c r="A242">
        <v>12</v>
      </c>
      <c r="B242">
        <v>1</v>
      </c>
      <c r="C242">
        <v>1</v>
      </c>
      <c r="D242">
        <v>47.233999999999597</v>
      </c>
      <c r="E242">
        <v>60.135999999999498</v>
      </c>
      <c r="F242">
        <v>39.948499999997701</v>
      </c>
      <c r="G242">
        <v>52.525499999998701</v>
      </c>
      <c r="H242">
        <v>3.1219999999999999</v>
      </c>
      <c r="I242">
        <v>3.1933333333333498</v>
      </c>
      <c r="J242">
        <v>44.561999999999699</v>
      </c>
      <c r="K242">
        <v>0.56000000000000005</v>
      </c>
      <c r="L242" t="s">
        <v>15</v>
      </c>
      <c r="M242">
        <v>0.3</v>
      </c>
      <c r="N242">
        <v>0.4</v>
      </c>
      <c r="O242" t="str">
        <f t="shared" si="3"/>
        <v>0.3,0.4</v>
      </c>
    </row>
    <row r="243" spans="1:15">
      <c r="A243">
        <v>18</v>
      </c>
      <c r="B243">
        <v>1</v>
      </c>
      <c r="C243">
        <v>1</v>
      </c>
      <c r="D243">
        <v>49.149999999999402</v>
      </c>
      <c r="E243">
        <v>62.201999999999302</v>
      </c>
      <c r="F243">
        <v>43.005888888889203</v>
      </c>
      <c r="G243">
        <v>55.676000000001302</v>
      </c>
      <c r="H243">
        <v>4.0439999999999996</v>
      </c>
      <c r="I243">
        <v>2.8557777777778002</v>
      </c>
      <c r="J243">
        <v>42.742000000000097</v>
      </c>
      <c r="K243">
        <v>0.378</v>
      </c>
      <c r="L243" t="s">
        <v>15</v>
      </c>
      <c r="M243">
        <v>0.3</v>
      </c>
      <c r="N243">
        <v>0.4</v>
      </c>
      <c r="O243" t="str">
        <f t="shared" si="3"/>
        <v>0.3,0.4</v>
      </c>
    </row>
    <row r="244" spans="1:15">
      <c r="A244">
        <v>12</v>
      </c>
      <c r="B244">
        <v>2</v>
      </c>
      <c r="C244">
        <v>1</v>
      </c>
      <c r="D244">
        <v>46.075999999999397</v>
      </c>
      <c r="E244">
        <v>60.754000000000097</v>
      </c>
      <c r="F244">
        <v>38.134666666664401</v>
      </c>
      <c r="G244">
        <v>51.300500000000099</v>
      </c>
      <c r="H244">
        <v>2.9420000000000002</v>
      </c>
      <c r="I244">
        <v>3.2918333333333498</v>
      </c>
      <c r="J244">
        <v>47.187999999999199</v>
      </c>
      <c r="K244">
        <v>1.69799999999999</v>
      </c>
      <c r="L244" t="s">
        <v>15</v>
      </c>
      <c r="M244">
        <v>0.3</v>
      </c>
      <c r="N244">
        <v>0.4</v>
      </c>
      <c r="O244" t="str">
        <f t="shared" si="3"/>
        <v>0.3,0.4</v>
      </c>
    </row>
    <row r="245" spans="1:15">
      <c r="A245">
        <v>18</v>
      </c>
      <c r="B245">
        <v>2</v>
      </c>
      <c r="C245">
        <v>1</v>
      </c>
      <c r="D245">
        <v>48.033999999998997</v>
      </c>
      <c r="E245">
        <v>63.142000000000003</v>
      </c>
      <c r="F245">
        <v>40.837000000000003</v>
      </c>
      <c r="G245">
        <v>54.850444444447099</v>
      </c>
      <c r="H245">
        <v>3.66</v>
      </c>
      <c r="I245">
        <v>2.8803333333333501</v>
      </c>
      <c r="J245">
        <v>45.091999999999601</v>
      </c>
      <c r="K245">
        <v>1.1499999999999999</v>
      </c>
      <c r="L245" t="s">
        <v>15</v>
      </c>
      <c r="M245">
        <v>0.3</v>
      </c>
      <c r="N245">
        <v>0.4</v>
      </c>
      <c r="O245" t="str">
        <f t="shared" si="3"/>
        <v>0.3,0.4</v>
      </c>
    </row>
    <row r="246" spans="1:15">
      <c r="A246">
        <v>12</v>
      </c>
      <c r="B246">
        <v>1</v>
      </c>
      <c r="C246">
        <v>1</v>
      </c>
      <c r="D246">
        <v>46.339999999999698</v>
      </c>
      <c r="E246">
        <v>58.861999999999902</v>
      </c>
      <c r="F246">
        <v>39.305166666664398</v>
      </c>
      <c r="G246">
        <v>51.210666666665297</v>
      </c>
      <c r="H246">
        <v>3.742</v>
      </c>
      <c r="I246">
        <v>2.2736666666666698</v>
      </c>
      <c r="J246">
        <v>47.155999999999302</v>
      </c>
      <c r="K246">
        <v>0.47199999999999998</v>
      </c>
      <c r="L246" t="s">
        <v>16</v>
      </c>
      <c r="M246">
        <v>0.3</v>
      </c>
      <c r="N246">
        <v>0.4</v>
      </c>
      <c r="O246" t="str">
        <f t="shared" si="3"/>
        <v>0.3,0.4</v>
      </c>
    </row>
    <row r="247" spans="1:15">
      <c r="A247">
        <v>18</v>
      </c>
      <c r="B247">
        <v>1</v>
      </c>
      <c r="C247">
        <v>1</v>
      </c>
      <c r="D247">
        <v>48.929999999999502</v>
      </c>
      <c r="E247">
        <v>61.601999999999698</v>
      </c>
      <c r="F247">
        <v>42.608444444444601</v>
      </c>
      <c r="G247">
        <v>54.606222222223501</v>
      </c>
      <c r="H247">
        <v>4.6159999999999997</v>
      </c>
      <c r="I247">
        <v>2.0033333333333401</v>
      </c>
      <c r="J247">
        <v>44.377999999999602</v>
      </c>
      <c r="K247">
        <v>0.28199999999999997</v>
      </c>
      <c r="L247" t="s">
        <v>16</v>
      </c>
      <c r="M247">
        <v>0.3</v>
      </c>
      <c r="N247">
        <v>0.4</v>
      </c>
      <c r="O247" t="str">
        <f t="shared" si="3"/>
        <v>0.3,0.4</v>
      </c>
    </row>
    <row r="248" spans="1:15">
      <c r="A248">
        <v>12</v>
      </c>
      <c r="B248">
        <v>2</v>
      </c>
      <c r="C248">
        <v>1</v>
      </c>
      <c r="D248">
        <v>45.247999999999301</v>
      </c>
      <c r="E248">
        <v>59.3280000000006</v>
      </c>
      <c r="F248">
        <v>37.335999999997902</v>
      </c>
      <c r="G248">
        <v>49.354000000000099</v>
      </c>
      <c r="H248">
        <v>3.4620000000000002</v>
      </c>
      <c r="I248">
        <v>2.3005</v>
      </c>
      <c r="J248">
        <v>49.801999999999197</v>
      </c>
      <c r="K248">
        <v>1.41</v>
      </c>
      <c r="L248" t="s">
        <v>16</v>
      </c>
      <c r="M248">
        <v>0.3</v>
      </c>
      <c r="N248">
        <v>0.4</v>
      </c>
      <c r="O248" t="str">
        <f t="shared" si="3"/>
        <v>0.3,0.4</v>
      </c>
    </row>
    <row r="249" spans="1:15">
      <c r="A249">
        <v>18</v>
      </c>
      <c r="B249">
        <v>2</v>
      </c>
      <c r="C249">
        <v>1</v>
      </c>
      <c r="D249">
        <v>47.299999999999102</v>
      </c>
      <c r="E249">
        <v>61.654000000000401</v>
      </c>
      <c r="F249">
        <v>40.149888888888903</v>
      </c>
      <c r="G249">
        <v>52.786222222224801</v>
      </c>
      <c r="H249">
        <v>4.2939999999999996</v>
      </c>
      <c r="I249">
        <v>2.0217777777777899</v>
      </c>
      <c r="J249">
        <v>47.107999999999002</v>
      </c>
      <c r="K249">
        <v>1.032</v>
      </c>
      <c r="L249" t="s">
        <v>16</v>
      </c>
      <c r="M249">
        <v>0.3</v>
      </c>
      <c r="N249">
        <v>0.4</v>
      </c>
      <c r="O249" t="str">
        <f t="shared" si="3"/>
        <v>0.3,0.4</v>
      </c>
    </row>
    <row r="250" spans="1:15">
      <c r="A250">
        <v>12</v>
      </c>
      <c r="B250">
        <v>1</v>
      </c>
      <c r="C250">
        <v>1</v>
      </c>
      <c r="D250">
        <v>44.06</v>
      </c>
      <c r="E250">
        <v>56.1640000000002</v>
      </c>
      <c r="F250">
        <v>38.221166666664601</v>
      </c>
      <c r="G250">
        <v>49.918999999998697</v>
      </c>
      <c r="H250">
        <v>9.2859999999999996</v>
      </c>
      <c r="I250">
        <v>1.81666666666666</v>
      </c>
      <c r="J250">
        <v>49.275999999999797</v>
      </c>
      <c r="K250">
        <v>0.41799999999999998</v>
      </c>
      <c r="L250" t="s">
        <v>17</v>
      </c>
      <c r="M250">
        <v>0.3</v>
      </c>
      <c r="N250">
        <v>0.4</v>
      </c>
      <c r="O250" t="str">
        <f t="shared" si="3"/>
        <v>0.3,0.4</v>
      </c>
    </row>
    <row r="251" spans="1:15">
      <c r="A251">
        <v>18</v>
      </c>
      <c r="B251">
        <v>1</v>
      </c>
      <c r="C251">
        <v>1</v>
      </c>
      <c r="D251">
        <v>45.897999999999897</v>
      </c>
      <c r="E251">
        <v>58.143999999999998</v>
      </c>
      <c r="F251">
        <v>41.127111111111297</v>
      </c>
      <c r="G251">
        <v>52.919666666668</v>
      </c>
      <c r="H251">
        <v>10.99</v>
      </c>
      <c r="I251">
        <v>1.4937777777777901</v>
      </c>
      <c r="J251">
        <v>46.757999999999697</v>
      </c>
      <c r="K251">
        <v>0.24199999999999999</v>
      </c>
      <c r="L251" t="s">
        <v>17</v>
      </c>
      <c r="M251">
        <v>0.3</v>
      </c>
      <c r="N251">
        <v>0.4</v>
      </c>
      <c r="O251" t="str">
        <f t="shared" si="3"/>
        <v>0.3,0.4</v>
      </c>
    </row>
    <row r="252" spans="1:15">
      <c r="A252">
        <v>12</v>
      </c>
      <c r="B252">
        <v>2</v>
      </c>
      <c r="C252">
        <v>1</v>
      </c>
      <c r="D252">
        <v>43.243999999999403</v>
      </c>
      <c r="E252">
        <v>56.228000000000897</v>
      </c>
      <c r="F252">
        <v>36.5946666666648</v>
      </c>
      <c r="G252">
        <v>47.641833333333501</v>
      </c>
      <c r="H252">
        <v>8.3140000000000001</v>
      </c>
      <c r="I252">
        <v>1.8133333333333299</v>
      </c>
      <c r="J252">
        <v>51.549999999999798</v>
      </c>
      <c r="K252">
        <v>1.1679999999999999</v>
      </c>
      <c r="L252" t="s">
        <v>17</v>
      </c>
      <c r="M252">
        <v>0.3</v>
      </c>
      <c r="N252">
        <v>0.4</v>
      </c>
      <c r="O252" t="str">
        <f t="shared" si="3"/>
        <v>0.3,0.4</v>
      </c>
    </row>
    <row r="253" spans="1:15">
      <c r="A253">
        <v>18</v>
      </c>
      <c r="B253">
        <v>2</v>
      </c>
      <c r="C253">
        <v>1</v>
      </c>
      <c r="D253">
        <v>44.533999999999502</v>
      </c>
      <c r="E253">
        <v>57.5560000000008</v>
      </c>
      <c r="F253">
        <v>38.791666666666799</v>
      </c>
      <c r="G253">
        <v>50.3330000000025</v>
      </c>
      <c r="H253">
        <v>10.054</v>
      </c>
      <c r="I253">
        <v>1.5008888888889</v>
      </c>
      <c r="J253">
        <v>49.699999999999598</v>
      </c>
      <c r="K253">
        <v>0.85</v>
      </c>
      <c r="L253" t="s">
        <v>17</v>
      </c>
      <c r="M253">
        <v>0.3</v>
      </c>
      <c r="N253">
        <v>0.4</v>
      </c>
      <c r="O253" t="str">
        <f t="shared" si="3"/>
        <v>0.3,0.4</v>
      </c>
    </row>
    <row r="254" spans="1:15">
      <c r="A254">
        <v>12</v>
      </c>
      <c r="B254">
        <v>1</v>
      </c>
      <c r="C254">
        <v>1</v>
      </c>
      <c r="D254">
        <v>44.504000000000097</v>
      </c>
      <c r="E254">
        <v>57.5940000000016</v>
      </c>
      <c r="F254">
        <v>37.674666666665701</v>
      </c>
      <c r="G254">
        <v>49.238666666666703</v>
      </c>
      <c r="H254">
        <v>7.3860000000000001</v>
      </c>
      <c r="I254">
        <v>0.90349999999999797</v>
      </c>
      <c r="J254">
        <v>51.218000000000799</v>
      </c>
      <c r="K254">
        <v>0.254</v>
      </c>
      <c r="L254" t="s">
        <v>11</v>
      </c>
      <c r="M254">
        <v>0.4</v>
      </c>
      <c r="N254">
        <v>0.2</v>
      </c>
      <c r="O254" t="str">
        <f t="shared" si="3"/>
        <v>0.4,0.2</v>
      </c>
    </row>
    <row r="255" spans="1:15">
      <c r="A255">
        <v>18</v>
      </c>
      <c r="B255">
        <v>1</v>
      </c>
      <c r="C255">
        <v>1</v>
      </c>
      <c r="D255">
        <v>46.928000000000203</v>
      </c>
      <c r="E255">
        <v>60.680000000001499</v>
      </c>
      <c r="F255">
        <v>40.8746666666677</v>
      </c>
      <c r="G255">
        <v>53.3117777777802</v>
      </c>
      <c r="H255">
        <v>8.4079999999999995</v>
      </c>
      <c r="I255">
        <v>0.77511111111110897</v>
      </c>
      <c r="J255">
        <v>49.17</v>
      </c>
      <c r="K255">
        <v>0.17799999999999999</v>
      </c>
      <c r="L255" t="s">
        <v>11</v>
      </c>
      <c r="M255">
        <v>0.4</v>
      </c>
      <c r="N255">
        <v>0.2</v>
      </c>
      <c r="O255" t="str">
        <f t="shared" si="3"/>
        <v>0.4,0.2</v>
      </c>
    </row>
    <row r="256" spans="1:15">
      <c r="A256">
        <v>12</v>
      </c>
      <c r="B256">
        <v>2</v>
      </c>
      <c r="C256">
        <v>1</v>
      </c>
      <c r="D256">
        <v>43.899999999999899</v>
      </c>
      <c r="E256">
        <v>53.930000000001598</v>
      </c>
      <c r="F256">
        <v>37.005333333332501</v>
      </c>
      <c r="G256">
        <v>45.430000000000597</v>
      </c>
      <c r="H256">
        <v>6.6180000000000003</v>
      </c>
      <c r="I256">
        <v>0.958666666666668</v>
      </c>
      <c r="J256">
        <v>52.418000000001101</v>
      </c>
      <c r="K256">
        <v>0.42199999999999999</v>
      </c>
      <c r="L256" t="s">
        <v>11</v>
      </c>
      <c r="M256">
        <v>0.4</v>
      </c>
      <c r="N256">
        <v>0.2</v>
      </c>
      <c r="O256" t="str">
        <f t="shared" si="3"/>
        <v>0.4,0.2</v>
      </c>
    </row>
    <row r="257" spans="1:15">
      <c r="A257">
        <v>18</v>
      </c>
      <c r="B257">
        <v>2</v>
      </c>
      <c r="C257">
        <v>1</v>
      </c>
      <c r="D257">
        <v>45.253999999999998</v>
      </c>
      <c r="E257">
        <v>55.862000000001601</v>
      </c>
      <c r="F257">
        <v>39.307444444445203</v>
      </c>
      <c r="G257">
        <v>48.694000000002703</v>
      </c>
      <c r="H257">
        <v>8.0739999999999998</v>
      </c>
      <c r="I257">
        <v>0.82099999999999795</v>
      </c>
      <c r="J257">
        <v>51.2680000000002</v>
      </c>
      <c r="K257">
        <v>0.22800000000000001</v>
      </c>
      <c r="L257" t="s">
        <v>11</v>
      </c>
      <c r="M257">
        <v>0.4</v>
      </c>
      <c r="N257">
        <v>0.2</v>
      </c>
      <c r="O257" t="str">
        <f t="shared" si="3"/>
        <v>0.4,0.2</v>
      </c>
    </row>
    <row r="258" spans="1:15">
      <c r="A258">
        <v>12</v>
      </c>
      <c r="B258">
        <v>1</v>
      </c>
      <c r="C258">
        <v>1</v>
      </c>
      <c r="D258">
        <v>44.844000000000101</v>
      </c>
      <c r="E258">
        <v>58.014000000001602</v>
      </c>
      <c r="F258">
        <v>38.2221666666657</v>
      </c>
      <c r="G258">
        <v>49.742833333333401</v>
      </c>
      <c r="H258">
        <v>6.4039999999999999</v>
      </c>
      <c r="I258">
        <v>0.89983333333333404</v>
      </c>
      <c r="J258">
        <v>50.642000000000301</v>
      </c>
      <c r="K258">
        <v>0.23200000000000001</v>
      </c>
      <c r="L258" t="s">
        <v>12</v>
      </c>
      <c r="M258">
        <v>0.4</v>
      </c>
      <c r="N258">
        <v>0.2</v>
      </c>
      <c r="O258" t="str">
        <f t="shared" si="3"/>
        <v>0.4,0.2</v>
      </c>
    </row>
    <row r="259" spans="1:15">
      <c r="A259">
        <v>18</v>
      </c>
      <c r="B259">
        <v>1</v>
      </c>
      <c r="C259">
        <v>1</v>
      </c>
      <c r="D259">
        <v>46.742000000000097</v>
      </c>
      <c r="E259">
        <v>60.468000000001403</v>
      </c>
      <c r="F259">
        <v>41.230333333334301</v>
      </c>
      <c r="G259">
        <v>53.625777777780101</v>
      </c>
      <c r="H259">
        <v>8.0180000000000007</v>
      </c>
      <c r="I259">
        <v>0.71455555555555095</v>
      </c>
      <c r="J259">
        <v>48.611999999999597</v>
      </c>
      <c r="K259">
        <v>0.156</v>
      </c>
      <c r="L259" t="s">
        <v>12</v>
      </c>
      <c r="M259">
        <v>0.4</v>
      </c>
      <c r="N259">
        <v>0.2</v>
      </c>
      <c r="O259" t="str">
        <f t="shared" ref="O259:O322" si="4">M259&amp;","&amp;N259</f>
        <v>0.4,0.2</v>
      </c>
    </row>
    <row r="260" spans="1:15">
      <c r="A260">
        <v>12</v>
      </c>
      <c r="B260">
        <v>2</v>
      </c>
      <c r="C260">
        <v>1</v>
      </c>
      <c r="D260">
        <v>43.235999999999898</v>
      </c>
      <c r="E260">
        <v>53.266000000001398</v>
      </c>
      <c r="F260">
        <v>36.636833333332497</v>
      </c>
      <c r="G260">
        <v>44.9188333333339</v>
      </c>
      <c r="H260">
        <v>6.11</v>
      </c>
      <c r="I260">
        <v>0.92733333333333301</v>
      </c>
      <c r="J260">
        <v>53.082000000000598</v>
      </c>
      <c r="K260">
        <v>0.48199999999999998</v>
      </c>
      <c r="L260" t="s">
        <v>12</v>
      </c>
      <c r="M260">
        <v>0.4</v>
      </c>
      <c r="N260">
        <v>0.2</v>
      </c>
      <c r="O260" t="str">
        <f t="shared" si="4"/>
        <v>0.4,0.2</v>
      </c>
    </row>
    <row r="261" spans="1:15">
      <c r="A261">
        <v>18</v>
      </c>
      <c r="B261">
        <v>2</v>
      </c>
      <c r="C261">
        <v>1</v>
      </c>
      <c r="D261">
        <v>44.374000000000102</v>
      </c>
      <c r="E261">
        <v>54.678000000001397</v>
      </c>
      <c r="F261">
        <v>38.997777777778602</v>
      </c>
      <c r="G261">
        <v>47.795111111113798</v>
      </c>
      <c r="H261">
        <v>7.8419999999999996</v>
      </c>
      <c r="I261">
        <v>0.71899999999999498</v>
      </c>
      <c r="J261">
        <v>51.529999999999902</v>
      </c>
      <c r="K261">
        <v>0.32800000000000001</v>
      </c>
      <c r="L261" t="s">
        <v>12</v>
      </c>
      <c r="M261">
        <v>0.4</v>
      </c>
      <c r="N261">
        <v>0.2</v>
      </c>
      <c r="O261" t="str">
        <f t="shared" si="4"/>
        <v>0.4,0.2</v>
      </c>
    </row>
    <row r="262" spans="1:15">
      <c r="A262">
        <v>12</v>
      </c>
      <c r="B262">
        <v>1</v>
      </c>
      <c r="C262">
        <v>1</v>
      </c>
      <c r="D262">
        <v>44.721999999999497</v>
      </c>
      <c r="E262">
        <v>63.259999999999003</v>
      </c>
      <c r="F262">
        <v>28.6151666666644</v>
      </c>
      <c r="G262">
        <v>47.420666666665198</v>
      </c>
      <c r="H262">
        <v>5.8639999999999999</v>
      </c>
      <c r="I262">
        <v>8.3698333333334105</v>
      </c>
      <c r="J262">
        <v>56.423999999998998</v>
      </c>
      <c r="K262">
        <v>0.82399999999999995</v>
      </c>
      <c r="L262" t="s">
        <v>13</v>
      </c>
      <c r="M262">
        <v>0.4</v>
      </c>
      <c r="N262">
        <v>0.2</v>
      </c>
      <c r="O262" t="str">
        <f t="shared" si="4"/>
        <v>0.4,0.2</v>
      </c>
    </row>
    <row r="263" spans="1:15">
      <c r="A263">
        <v>18</v>
      </c>
      <c r="B263">
        <v>1</v>
      </c>
      <c r="C263">
        <v>1</v>
      </c>
      <c r="D263">
        <v>46.183999999999301</v>
      </c>
      <c r="E263">
        <v>65.179999999999495</v>
      </c>
      <c r="F263">
        <v>31.844555555553502</v>
      </c>
      <c r="G263">
        <v>50.895888888887903</v>
      </c>
      <c r="H263">
        <v>6.8019999999999996</v>
      </c>
      <c r="I263">
        <v>7.0952222222225201</v>
      </c>
      <c r="J263">
        <v>53.317999999999003</v>
      </c>
      <c r="K263">
        <v>0.42799999999999999</v>
      </c>
      <c r="L263" t="s">
        <v>13</v>
      </c>
      <c r="M263">
        <v>0.4</v>
      </c>
      <c r="N263">
        <v>0.2</v>
      </c>
      <c r="O263" t="str">
        <f t="shared" si="4"/>
        <v>0.4,0.2</v>
      </c>
    </row>
    <row r="264" spans="1:15">
      <c r="A264">
        <v>12</v>
      </c>
      <c r="B264">
        <v>2</v>
      </c>
      <c r="C264">
        <v>1</v>
      </c>
      <c r="D264">
        <v>44.675999999999704</v>
      </c>
      <c r="E264">
        <v>63.935999999999602</v>
      </c>
      <c r="F264">
        <v>29.182499999997798</v>
      </c>
      <c r="G264">
        <v>51.615333333332003</v>
      </c>
      <c r="H264">
        <v>5.5780000000000003</v>
      </c>
      <c r="I264">
        <v>8.4928333333334098</v>
      </c>
      <c r="J264">
        <v>55.1299999999991</v>
      </c>
      <c r="K264">
        <v>1.526</v>
      </c>
      <c r="L264" t="s">
        <v>13</v>
      </c>
      <c r="M264">
        <v>0.4</v>
      </c>
      <c r="N264">
        <v>0.2</v>
      </c>
      <c r="O264" t="str">
        <f t="shared" si="4"/>
        <v>0.4,0.2</v>
      </c>
    </row>
    <row r="265" spans="1:15">
      <c r="A265">
        <v>18</v>
      </c>
      <c r="B265">
        <v>2</v>
      </c>
      <c r="C265">
        <v>1</v>
      </c>
      <c r="D265">
        <v>46.267999999999397</v>
      </c>
      <c r="E265">
        <v>65.867999999999995</v>
      </c>
      <c r="F265">
        <v>32.406888888886897</v>
      </c>
      <c r="G265">
        <v>56.280555555554997</v>
      </c>
      <c r="H265">
        <v>6.5060000000000002</v>
      </c>
      <c r="I265">
        <v>7.1314444444447602</v>
      </c>
      <c r="J265">
        <v>52.397999999999101</v>
      </c>
      <c r="K265">
        <v>0.77800000000000002</v>
      </c>
      <c r="L265" t="s">
        <v>13</v>
      </c>
      <c r="M265">
        <v>0.4</v>
      </c>
      <c r="N265">
        <v>0.2</v>
      </c>
      <c r="O265" t="str">
        <f t="shared" si="4"/>
        <v>0.4,0.2</v>
      </c>
    </row>
    <row r="266" spans="1:15">
      <c r="A266">
        <v>12</v>
      </c>
      <c r="B266">
        <v>1</v>
      </c>
      <c r="C266">
        <v>1</v>
      </c>
      <c r="D266">
        <v>42.849999999999099</v>
      </c>
      <c r="E266">
        <v>58.268000000000796</v>
      </c>
      <c r="F266">
        <v>34.084999999998601</v>
      </c>
      <c r="G266">
        <v>47.23</v>
      </c>
      <c r="H266">
        <v>13.074</v>
      </c>
      <c r="I266">
        <v>1.8574999999999999</v>
      </c>
      <c r="J266">
        <v>44.400000000000396</v>
      </c>
      <c r="K266">
        <v>0.628</v>
      </c>
      <c r="L266" t="s">
        <v>14</v>
      </c>
      <c r="M266">
        <v>0.4</v>
      </c>
      <c r="N266">
        <v>0.2</v>
      </c>
      <c r="O266" t="str">
        <f t="shared" si="4"/>
        <v>0.4,0.2</v>
      </c>
    </row>
    <row r="267" spans="1:15">
      <c r="A267">
        <v>18</v>
      </c>
      <c r="B267">
        <v>1</v>
      </c>
      <c r="C267">
        <v>1</v>
      </c>
      <c r="D267">
        <v>45.359999999998898</v>
      </c>
      <c r="E267">
        <v>61.618000000000698</v>
      </c>
      <c r="F267">
        <v>37.2275555555563</v>
      </c>
      <c r="G267">
        <v>51.291777777778499</v>
      </c>
      <c r="H267">
        <v>14.874000000000001</v>
      </c>
      <c r="I267">
        <v>1.6544444444444799</v>
      </c>
      <c r="J267">
        <v>42.672000000000097</v>
      </c>
      <c r="K267">
        <v>0.438</v>
      </c>
      <c r="L267" t="s">
        <v>14</v>
      </c>
      <c r="M267">
        <v>0.4</v>
      </c>
      <c r="N267">
        <v>0.2</v>
      </c>
      <c r="O267" t="str">
        <f t="shared" si="4"/>
        <v>0.4,0.2</v>
      </c>
    </row>
    <row r="268" spans="1:15">
      <c r="A268">
        <v>12</v>
      </c>
      <c r="B268">
        <v>2</v>
      </c>
      <c r="C268">
        <v>1</v>
      </c>
      <c r="D268">
        <v>42.507999999999498</v>
      </c>
      <c r="E268">
        <v>59.038000000000601</v>
      </c>
      <c r="F268">
        <v>33.246499999998498</v>
      </c>
      <c r="G268">
        <v>46.326666666666803</v>
      </c>
      <c r="H268">
        <v>11.582000000000001</v>
      </c>
      <c r="I268">
        <v>2.4946666666666801</v>
      </c>
      <c r="J268">
        <v>42.644000000000403</v>
      </c>
      <c r="K268">
        <v>1.35</v>
      </c>
      <c r="L268" t="s">
        <v>14</v>
      </c>
      <c r="M268">
        <v>0.4</v>
      </c>
      <c r="N268">
        <v>0.2</v>
      </c>
      <c r="O268" t="str">
        <f t="shared" si="4"/>
        <v>0.4,0.2</v>
      </c>
    </row>
    <row r="269" spans="1:15">
      <c r="A269">
        <v>18</v>
      </c>
      <c r="B269">
        <v>2</v>
      </c>
      <c r="C269">
        <v>1</v>
      </c>
      <c r="D269">
        <v>45.1779999999994</v>
      </c>
      <c r="E269">
        <v>62.612000000000698</v>
      </c>
      <c r="F269">
        <v>36.534666666667</v>
      </c>
      <c r="G269">
        <v>50.556333333334599</v>
      </c>
      <c r="H269">
        <v>13.093999999999999</v>
      </c>
      <c r="I269">
        <v>2.2272222222222799</v>
      </c>
      <c r="J269">
        <v>39.925999999999803</v>
      </c>
      <c r="K269">
        <v>0.89800000000000002</v>
      </c>
      <c r="L269" t="s">
        <v>14</v>
      </c>
      <c r="M269">
        <v>0.4</v>
      </c>
      <c r="N269">
        <v>0.2</v>
      </c>
      <c r="O269" t="str">
        <f t="shared" si="4"/>
        <v>0.4,0.2</v>
      </c>
    </row>
    <row r="270" spans="1:15">
      <c r="A270">
        <v>12</v>
      </c>
      <c r="B270">
        <v>1</v>
      </c>
      <c r="C270">
        <v>1</v>
      </c>
      <c r="D270">
        <v>45.531999999999897</v>
      </c>
      <c r="E270">
        <v>59.7420000000008</v>
      </c>
      <c r="F270">
        <v>39.272999999998497</v>
      </c>
      <c r="G270">
        <v>51.968166666666299</v>
      </c>
      <c r="H270">
        <v>6.742</v>
      </c>
      <c r="I270">
        <v>1.2595000000000001</v>
      </c>
      <c r="J270">
        <v>48.983999999999398</v>
      </c>
      <c r="K270">
        <v>0.27400000000000002</v>
      </c>
      <c r="L270" t="s">
        <v>15</v>
      </c>
      <c r="M270">
        <v>0.4</v>
      </c>
      <c r="N270">
        <v>0.2</v>
      </c>
      <c r="O270" t="str">
        <f t="shared" si="4"/>
        <v>0.4,0.2</v>
      </c>
    </row>
    <row r="271" spans="1:15">
      <c r="A271">
        <v>18</v>
      </c>
      <c r="B271">
        <v>1</v>
      </c>
      <c r="C271">
        <v>1</v>
      </c>
      <c r="D271">
        <v>47.247999999999898</v>
      </c>
      <c r="E271">
        <v>61.582000000000697</v>
      </c>
      <c r="F271">
        <v>42.002000000000798</v>
      </c>
      <c r="G271">
        <v>55.203777777780097</v>
      </c>
      <c r="H271">
        <v>8.0540000000000003</v>
      </c>
      <c r="I271">
        <v>1.06588888888889</v>
      </c>
      <c r="J271">
        <v>47.539999999999203</v>
      </c>
      <c r="K271">
        <v>0.19400000000000001</v>
      </c>
      <c r="L271" t="s">
        <v>15</v>
      </c>
      <c r="M271">
        <v>0.4</v>
      </c>
      <c r="N271">
        <v>0.2</v>
      </c>
      <c r="O271" t="str">
        <f t="shared" si="4"/>
        <v>0.4,0.2</v>
      </c>
    </row>
    <row r="272" spans="1:15">
      <c r="A272">
        <v>12</v>
      </c>
      <c r="B272">
        <v>2</v>
      </c>
      <c r="C272">
        <v>1</v>
      </c>
      <c r="D272">
        <v>43.829999999999799</v>
      </c>
      <c r="E272">
        <v>54.774000000001102</v>
      </c>
      <c r="F272">
        <v>37.619499999998702</v>
      </c>
      <c r="G272">
        <v>47.023500000000197</v>
      </c>
      <c r="H272">
        <v>6.6980000000000004</v>
      </c>
      <c r="I272">
        <v>1.24816666666666</v>
      </c>
      <c r="J272">
        <v>51.4579999999997</v>
      </c>
      <c r="K272">
        <v>0.55000000000000004</v>
      </c>
      <c r="L272" t="s">
        <v>15</v>
      </c>
      <c r="M272">
        <v>0.4</v>
      </c>
      <c r="N272">
        <v>0.2</v>
      </c>
      <c r="O272" t="str">
        <f t="shared" si="4"/>
        <v>0.4,0.2</v>
      </c>
    </row>
    <row r="273" spans="1:15">
      <c r="A273">
        <v>18</v>
      </c>
      <c r="B273">
        <v>2</v>
      </c>
      <c r="C273">
        <v>1</v>
      </c>
      <c r="D273">
        <v>45.6679999999999</v>
      </c>
      <c r="E273">
        <v>56.848000000001299</v>
      </c>
      <c r="F273">
        <v>40.361666666667404</v>
      </c>
      <c r="G273">
        <v>50.392000000002803</v>
      </c>
      <c r="H273">
        <v>7.81</v>
      </c>
      <c r="I273">
        <v>1.02077777777778</v>
      </c>
      <c r="J273">
        <v>49.7639999999992</v>
      </c>
      <c r="K273">
        <v>0.34399999999999997</v>
      </c>
      <c r="L273" t="s">
        <v>15</v>
      </c>
      <c r="M273">
        <v>0.4</v>
      </c>
      <c r="N273">
        <v>0.2</v>
      </c>
      <c r="O273" t="str">
        <f t="shared" si="4"/>
        <v>0.4,0.2</v>
      </c>
    </row>
    <row r="274" spans="1:15">
      <c r="A274">
        <v>12</v>
      </c>
      <c r="B274">
        <v>1</v>
      </c>
      <c r="C274">
        <v>1</v>
      </c>
      <c r="D274">
        <v>41.116000000000199</v>
      </c>
      <c r="E274">
        <v>53.480000000001297</v>
      </c>
      <c r="F274">
        <v>35.202666666665898</v>
      </c>
      <c r="G274">
        <v>46.081499999999998</v>
      </c>
      <c r="H274">
        <v>12.923999999999999</v>
      </c>
      <c r="I274">
        <v>0.68699999999999894</v>
      </c>
      <c r="J274">
        <v>55.398000000001197</v>
      </c>
      <c r="K274">
        <v>0.158</v>
      </c>
      <c r="L274" t="s">
        <v>16</v>
      </c>
      <c r="M274">
        <v>0.4</v>
      </c>
      <c r="N274">
        <v>0.2</v>
      </c>
      <c r="O274" t="str">
        <f t="shared" si="4"/>
        <v>0.4,0.2</v>
      </c>
    </row>
    <row r="275" spans="1:15">
      <c r="A275">
        <v>18</v>
      </c>
      <c r="B275">
        <v>1</v>
      </c>
      <c r="C275">
        <v>1</v>
      </c>
      <c r="D275">
        <v>42.922000000000203</v>
      </c>
      <c r="E275">
        <v>55.5400000000012</v>
      </c>
      <c r="F275">
        <v>37.730666666667503</v>
      </c>
      <c r="G275">
        <v>49.102555555557899</v>
      </c>
      <c r="H275">
        <v>14.304</v>
      </c>
      <c r="I275">
        <v>0.56299999999999595</v>
      </c>
      <c r="J275">
        <v>53.552000000000398</v>
      </c>
      <c r="K275">
        <v>0.11600000000000001</v>
      </c>
      <c r="L275" t="s">
        <v>16</v>
      </c>
      <c r="M275">
        <v>0.4</v>
      </c>
      <c r="N275">
        <v>0.2</v>
      </c>
      <c r="O275" t="str">
        <f t="shared" si="4"/>
        <v>0.4,0.2</v>
      </c>
    </row>
    <row r="276" spans="1:15">
      <c r="A276">
        <v>12</v>
      </c>
      <c r="B276">
        <v>2</v>
      </c>
      <c r="C276">
        <v>1</v>
      </c>
      <c r="D276">
        <v>39.964000000000098</v>
      </c>
      <c r="E276">
        <v>49.096000000001098</v>
      </c>
      <c r="F276">
        <v>34.0958333333326</v>
      </c>
      <c r="G276">
        <v>41.517500000000503</v>
      </c>
      <c r="H276">
        <v>12.476000000000001</v>
      </c>
      <c r="I276">
        <v>0.66766666666666696</v>
      </c>
      <c r="J276">
        <v>57.048000000001203</v>
      </c>
      <c r="K276">
        <v>0.36399999999999999</v>
      </c>
      <c r="L276" t="s">
        <v>16</v>
      </c>
      <c r="M276">
        <v>0.4</v>
      </c>
      <c r="N276">
        <v>0.2</v>
      </c>
      <c r="O276" t="str">
        <f t="shared" si="4"/>
        <v>0.4,0.2</v>
      </c>
    </row>
    <row r="277" spans="1:15">
      <c r="A277">
        <v>18</v>
      </c>
      <c r="B277">
        <v>2</v>
      </c>
      <c r="C277">
        <v>1</v>
      </c>
      <c r="D277">
        <v>41.5120000000001</v>
      </c>
      <c r="E277">
        <v>51.126000000001397</v>
      </c>
      <c r="F277">
        <v>36.285333333334201</v>
      </c>
      <c r="G277">
        <v>44.422444444447002</v>
      </c>
      <c r="H277">
        <v>13.836</v>
      </c>
      <c r="I277">
        <v>0.53966666666666296</v>
      </c>
      <c r="J277">
        <v>55.628000000000696</v>
      </c>
      <c r="K277">
        <v>0.26200000000000001</v>
      </c>
      <c r="L277" t="s">
        <v>16</v>
      </c>
      <c r="M277">
        <v>0.4</v>
      </c>
      <c r="N277">
        <v>0.2</v>
      </c>
      <c r="O277" t="str">
        <f t="shared" si="4"/>
        <v>0.4,0.2</v>
      </c>
    </row>
    <row r="278" spans="1:15">
      <c r="A278">
        <v>12</v>
      </c>
      <c r="B278">
        <v>1</v>
      </c>
      <c r="C278">
        <v>1</v>
      </c>
      <c r="D278">
        <v>41.6760000000004</v>
      </c>
      <c r="E278">
        <v>54.256000000001102</v>
      </c>
      <c r="F278">
        <v>36.429666666665902</v>
      </c>
      <c r="G278">
        <v>47.661499999999897</v>
      </c>
      <c r="H278">
        <v>14.194000000000001</v>
      </c>
      <c r="I278">
        <v>0.79049999999999998</v>
      </c>
      <c r="J278">
        <v>53.544000000000899</v>
      </c>
      <c r="K278">
        <v>0.19400000000000001</v>
      </c>
      <c r="L278" t="s">
        <v>17</v>
      </c>
      <c r="M278">
        <v>0.4</v>
      </c>
      <c r="N278">
        <v>0.2</v>
      </c>
      <c r="O278" t="str">
        <f t="shared" si="4"/>
        <v>0.4,0.2</v>
      </c>
    </row>
    <row r="279" spans="1:15">
      <c r="A279">
        <v>18</v>
      </c>
      <c r="B279">
        <v>1</v>
      </c>
      <c r="C279">
        <v>1</v>
      </c>
      <c r="D279">
        <v>42.434000000000403</v>
      </c>
      <c r="E279">
        <v>55.526000000001098</v>
      </c>
      <c r="F279">
        <v>38.232555555556502</v>
      </c>
      <c r="G279">
        <v>50.319444444446802</v>
      </c>
      <c r="H279">
        <v>16.638000000000002</v>
      </c>
      <c r="I279">
        <v>0.60655555555555196</v>
      </c>
      <c r="J279">
        <v>52.6360000000005</v>
      </c>
      <c r="K279">
        <v>0.14599999999999999</v>
      </c>
      <c r="L279" t="s">
        <v>17</v>
      </c>
      <c r="M279">
        <v>0.4</v>
      </c>
      <c r="N279">
        <v>0.2</v>
      </c>
      <c r="O279" t="str">
        <f t="shared" si="4"/>
        <v>0.4,0.2</v>
      </c>
    </row>
    <row r="280" spans="1:15">
      <c r="A280">
        <v>12</v>
      </c>
      <c r="B280">
        <v>2</v>
      </c>
      <c r="C280">
        <v>1</v>
      </c>
      <c r="D280">
        <v>40.710000000000299</v>
      </c>
      <c r="E280">
        <v>50.068000000001199</v>
      </c>
      <c r="F280">
        <v>35.338833333332701</v>
      </c>
      <c r="G280">
        <v>43.198000000000597</v>
      </c>
      <c r="H280">
        <v>13.667999999999999</v>
      </c>
      <c r="I280">
        <v>0.76933333333333398</v>
      </c>
      <c r="J280">
        <v>55.088000000001003</v>
      </c>
      <c r="K280">
        <v>0.39600000000000002</v>
      </c>
      <c r="L280" t="s">
        <v>17</v>
      </c>
      <c r="M280">
        <v>0.4</v>
      </c>
      <c r="N280">
        <v>0.2</v>
      </c>
      <c r="O280" t="str">
        <f t="shared" si="4"/>
        <v>0.4,0.2</v>
      </c>
    </row>
    <row r="281" spans="1:15">
      <c r="A281">
        <v>18</v>
      </c>
      <c r="B281">
        <v>2</v>
      </c>
      <c r="C281">
        <v>1</v>
      </c>
      <c r="D281">
        <v>41.508000000000301</v>
      </c>
      <c r="E281">
        <v>51.072000000001402</v>
      </c>
      <c r="F281">
        <v>37.279444444445303</v>
      </c>
      <c r="G281">
        <v>45.581555555558097</v>
      </c>
      <c r="H281">
        <v>15.846</v>
      </c>
      <c r="I281">
        <v>0.606222222222218</v>
      </c>
      <c r="J281">
        <v>53.906000000000702</v>
      </c>
      <c r="K281">
        <v>0.30199999999999999</v>
      </c>
      <c r="L281" t="s">
        <v>17</v>
      </c>
      <c r="M281">
        <v>0.4</v>
      </c>
      <c r="N281">
        <v>0.2</v>
      </c>
      <c r="O281" t="str">
        <f t="shared" si="4"/>
        <v>0.4,0.2</v>
      </c>
    </row>
    <row r="282" spans="1:15">
      <c r="A282">
        <v>12</v>
      </c>
      <c r="B282">
        <v>1</v>
      </c>
      <c r="C282">
        <v>1</v>
      </c>
      <c r="D282">
        <v>47.955999999999896</v>
      </c>
      <c r="E282">
        <v>61.1300000000004</v>
      </c>
      <c r="F282">
        <v>41.375999999998399</v>
      </c>
      <c r="G282">
        <v>53.762166666666197</v>
      </c>
      <c r="H282">
        <v>4.0940000000000003</v>
      </c>
      <c r="I282">
        <v>1.98016666666666</v>
      </c>
      <c r="J282">
        <v>43.407999999999603</v>
      </c>
      <c r="K282">
        <v>0.48199999999999998</v>
      </c>
      <c r="L282" t="s">
        <v>11</v>
      </c>
      <c r="M282">
        <v>0.4</v>
      </c>
      <c r="N282">
        <v>0.3</v>
      </c>
      <c r="O282" t="str">
        <f t="shared" si="4"/>
        <v>0.4,0.3</v>
      </c>
    </row>
    <row r="283" spans="1:15">
      <c r="A283">
        <v>18</v>
      </c>
      <c r="B283">
        <v>1</v>
      </c>
      <c r="C283">
        <v>1</v>
      </c>
      <c r="D283">
        <v>51.199999999999797</v>
      </c>
      <c r="E283">
        <v>64.522000000000503</v>
      </c>
      <c r="F283">
        <v>44.920555555556398</v>
      </c>
      <c r="G283">
        <v>57.547666666669002</v>
      </c>
      <c r="H283">
        <v>5.3120000000000003</v>
      </c>
      <c r="I283">
        <v>1.5644444444444501</v>
      </c>
      <c r="J283">
        <v>42.609999999999502</v>
      </c>
      <c r="K283">
        <v>0.27400000000000002</v>
      </c>
      <c r="L283" t="s">
        <v>11</v>
      </c>
      <c r="M283">
        <v>0.4</v>
      </c>
      <c r="N283">
        <v>0.3</v>
      </c>
      <c r="O283" t="str">
        <f t="shared" si="4"/>
        <v>0.4,0.3</v>
      </c>
    </row>
    <row r="284" spans="1:15">
      <c r="A284">
        <v>12</v>
      </c>
      <c r="B284">
        <v>2</v>
      </c>
      <c r="C284">
        <v>1</v>
      </c>
      <c r="D284">
        <v>46.119999999999798</v>
      </c>
      <c r="E284">
        <v>57.520000000001403</v>
      </c>
      <c r="F284">
        <v>39.526999999998502</v>
      </c>
      <c r="G284">
        <v>49.758333333333603</v>
      </c>
      <c r="H284">
        <v>3.79</v>
      </c>
      <c r="I284">
        <v>1.6844999999999899</v>
      </c>
      <c r="J284">
        <v>48.847999999999601</v>
      </c>
      <c r="K284">
        <v>0.64</v>
      </c>
      <c r="L284" t="s">
        <v>11</v>
      </c>
      <c r="M284">
        <v>0.4</v>
      </c>
      <c r="N284">
        <v>0.3</v>
      </c>
      <c r="O284" t="str">
        <f t="shared" si="4"/>
        <v>0.4,0.3</v>
      </c>
    </row>
    <row r="285" spans="1:15">
      <c r="A285">
        <v>18</v>
      </c>
      <c r="B285">
        <v>2</v>
      </c>
      <c r="C285">
        <v>1</v>
      </c>
      <c r="D285">
        <v>48.693999999999697</v>
      </c>
      <c r="E285">
        <v>60.212000000001503</v>
      </c>
      <c r="F285">
        <v>42.819666666667501</v>
      </c>
      <c r="G285">
        <v>53.555000000002998</v>
      </c>
      <c r="H285">
        <v>4.84</v>
      </c>
      <c r="I285">
        <v>1.42966666666667</v>
      </c>
      <c r="J285">
        <v>47.341999999999501</v>
      </c>
      <c r="K285">
        <v>0.46400000000000002</v>
      </c>
      <c r="L285" t="s">
        <v>11</v>
      </c>
      <c r="M285">
        <v>0.4</v>
      </c>
      <c r="N285">
        <v>0.3</v>
      </c>
      <c r="O285" t="str">
        <f t="shared" si="4"/>
        <v>0.4,0.3</v>
      </c>
    </row>
    <row r="286" spans="1:15">
      <c r="A286">
        <v>12</v>
      </c>
      <c r="B286">
        <v>1</v>
      </c>
      <c r="C286">
        <v>1</v>
      </c>
      <c r="D286">
        <v>46.654000000000103</v>
      </c>
      <c r="E286">
        <v>59.756000000000597</v>
      </c>
      <c r="F286">
        <v>41.368666666665</v>
      </c>
      <c r="G286">
        <v>53.669333333332602</v>
      </c>
      <c r="H286">
        <v>4.3120000000000003</v>
      </c>
      <c r="I286">
        <v>1.6521666666666599</v>
      </c>
      <c r="J286">
        <v>47.209999999999297</v>
      </c>
      <c r="K286">
        <v>0.34200000000000003</v>
      </c>
      <c r="L286" t="s">
        <v>12</v>
      </c>
      <c r="M286">
        <v>0.4</v>
      </c>
      <c r="N286">
        <v>0.3</v>
      </c>
      <c r="O286" t="str">
        <f t="shared" si="4"/>
        <v>0.4,0.3</v>
      </c>
    </row>
    <row r="287" spans="1:15">
      <c r="A287">
        <v>18</v>
      </c>
      <c r="B287">
        <v>1</v>
      </c>
      <c r="C287">
        <v>1</v>
      </c>
      <c r="D287">
        <v>48.937999999999697</v>
      </c>
      <c r="E287">
        <v>62.332000000000299</v>
      </c>
      <c r="F287">
        <v>44.276444444445303</v>
      </c>
      <c r="G287">
        <v>57.010111111113403</v>
      </c>
      <c r="H287">
        <v>5.6260000000000003</v>
      </c>
      <c r="I287">
        <v>1.2661111111111101</v>
      </c>
      <c r="J287">
        <v>45.949999999999299</v>
      </c>
      <c r="K287">
        <v>0.186</v>
      </c>
      <c r="L287" t="s">
        <v>12</v>
      </c>
      <c r="M287">
        <v>0.4</v>
      </c>
      <c r="N287">
        <v>0.3</v>
      </c>
      <c r="O287" t="str">
        <f t="shared" si="4"/>
        <v>0.4,0.3</v>
      </c>
    </row>
    <row r="288" spans="1:15">
      <c r="A288">
        <v>12</v>
      </c>
      <c r="B288">
        <v>2</v>
      </c>
      <c r="C288">
        <v>1</v>
      </c>
      <c r="D288">
        <v>45.133999999999801</v>
      </c>
      <c r="E288">
        <v>56.288000000001198</v>
      </c>
      <c r="F288">
        <v>39.503166666665102</v>
      </c>
      <c r="G288">
        <v>49.550500000000099</v>
      </c>
      <c r="H288">
        <v>4.0860000000000003</v>
      </c>
      <c r="I288">
        <v>1.70383333333333</v>
      </c>
      <c r="J288">
        <v>49.9099999999993</v>
      </c>
      <c r="K288">
        <v>0.76200000000000001</v>
      </c>
      <c r="L288" t="s">
        <v>12</v>
      </c>
      <c r="M288">
        <v>0.4</v>
      </c>
      <c r="N288">
        <v>0.3</v>
      </c>
      <c r="O288" t="str">
        <f t="shared" si="4"/>
        <v>0.4,0.3</v>
      </c>
    </row>
    <row r="289" spans="1:15">
      <c r="A289">
        <v>18</v>
      </c>
      <c r="B289">
        <v>2</v>
      </c>
      <c r="C289">
        <v>1</v>
      </c>
      <c r="D289">
        <v>46.959999999999702</v>
      </c>
      <c r="E289">
        <v>58.340000000001197</v>
      </c>
      <c r="F289">
        <v>42.053888888889603</v>
      </c>
      <c r="G289">
        <v>52.570333333336301</v>
      </c>
      <c r="H289">
        <v>5.218</v>
      </c>
      <c r="I289">
        <v>1.31388888888889</v>
      </c>
      <c r="J289">
        <v>48.841999999999302</v>
      </c>
      <c r="K289">
        <v>0.51800000000000002</v>
      </c>
      <c r="L289" t="s">
        <v>12</v>
      </c>
      <c r="M289">
        <v>0.4</v>
      </c>
      <c r="N289">
        <v>0.3</v>
      </c>
      <c r="O289" t="str">
        <f t="shared" si="4"/>
        <v>0.4,0.3</v>
      </c>
    </row>
    <row r="290" spans="1:15">
      <c r="A290">
        <v>12</v>
      </c>
      <c r="B290">
        <v>1</v>
      </c>
      <c r="C290">
        <v>1</v>
      </c>
      <c r="D290">
        <v>45.039999999999203</v>
      </c>
      <c r="E290">
        <v>60.603999999998798</v>
      </c>
      <c r="F290">
        <v>27.718499999997899</v>
      </c>
      <c r="G290">
        <v>42.707499999998397</v>
      </c>
      <c r="H290">
        <v>7.0880000000000001</v>
      </c>
      <c r="I290">
        <v>7.1880000000000202</v>
      </c>
      <c r="J290">
        <v>53.797999999998403</v>
      </c>
      <c r="K290">
        <v>0.81</v>
      </c>
      <c r="L290" t="s">
        <v>13</v>
      </c>
      <c r="M290">
        <v>0.4</v>
      </c>
      <c r="N290">
        <v>0.3</v>
      </c>
      <c r="O290" t="str">
        <f t="shared" si="4"/>
        <v>0.4,0.3</v>
      </c>
    </row>
    <row r="291" spans="1:15">
      <c r="A291">
        <v>18</v>
      </c>
      <c r="B291">
        <v>1</v>
      </c>
      <c r="C291">
        <v>1</v>
      </c>
      <c r="D291">
        <v>46.597999999999097</v>
      </c>
      <c r="E291">
        <v>62.1579999999988</v>
      </c>
      <c r="F291">
        <v>30.914999999997999</v>
      </c>
      <c r="G291">
        <v>46.036111111110003</v>
      </c>
      <c r="H291">
        <v>8.4760000000000009</v>
      </c>
      <c r="I291">
        <v>6.5364444444446601</v>
      </c>
      <c r="J291">
        <v>54.777999999999103</v>
      </c>
      <c r="K291">
        <v>0.34200000000000003</v>
      </c>
      <c r="L291" t="s">
        <v>13</v>
      </c>
      <c r="M291">
        <v>0.4</v>
      </c>
      <c r="N291">
        <v>0.3</v>
      </c>
      <c r="O291" t="str">
        <f t="shared" si="4"/>
        <v>0.4,0.3</v>
      </c>
    </row>
    <row r="292" spans="1:15">
      <c r="A292">
        <v>12</v>
      </c>
      <c r="B292">
        <v>2</v>
      </c>
      <c r="C292">
        <v>1</v>
      </c>
      <c r="D292">
        <v>44.635999999999697</v>
      </c>
      <c r="E292">
        <v>63.793999999999599</v>
      </c>
      <c r="F292">
        <v>28.592666666664499</v>
      </c>
      <c r="G292">
        <v>50.177999999998498</v>
      </c>
      <c r="H292">
        <v>6.8</v>
      </c>
      <c r="I292">
        <v>7.13283333333339</v>
      </c>
      <c r="J292">
        <v>52.159999999998703</v>
      </c>
      <c r="K292">
        <v>1.8199999999999901</v>
      </c>
      <c r="L292" t="s">
        <v>13</v>
      </c>
      <c r="M292">
        <v>0.4</v>
      </c>
      <c r="N292">
        <v>0.3</v>
      </c>
      <c r="O292" t="str">
        <f t="shared" si="4"/>
        <v>0.4,0.3</v>
      </c>
    </row>
    <row r="293" spans="1:15">
      <c r="A293">
        <v>18</v>
      </c>
      <c r="B293">
        <v>2</v>
      </c>
      <c r="C293">
        <v>1</v>
      </c>
      <c r="D293">
        <v>46.719999999999303</v>
      </c>
      <c r="E293">
        <v>65.903999999999897</v>
      </c>
      <c r="F293">
        <v>31.853999999998202</v>
      </c>
      <c r="G293">
        <v>54.9694444444442</v>
      </c>
      <c r="H293">
        <v>7.6559999999999997</v>
      </c>
      <c r="I293">
        <v>6.6030000000002103</v>
      </c>
      <c r="J293">
        <v>53.267999999999198</v>
      </c>
      <c r="K293">
        <v>1.0960000000000001</v>
      </c>
      <c r="L293" t="s">
        <v>13</v>
      </c>
      <c r="M293">
        <v>0.4</v>
      </c>
      <c r="N293">
        <v>0.3</v>
      </c>
      <c r="O293" t="str">
        <f t="shared" si="4"/>
        <v>0.4,0.3</v>
      </c>
    </row>
    <row r="294" spans="1:15">
      <c r="A294">
        <v>12</v>
      </c>
      <c r="B294">
        <v>1</v>
      </c>
      <c r="C294">
        <v>1</v>
      </c>
      <c r="D294">
        <v>48.3319999999987</v>
      </c>
      <c r="E294">
        <v>63.523999999999901</v>
      </c>
      <c r="F294">
        <v>38.629833333331298</v>
      </c>
      <c r="G294">
        <v>52.513999999999299</v>
      </c>
      <c r="H294">
        <v>5.5540000000000003</v>
      </c>
      <c r="I294">
        <v>2.9846666666667101</v>
      </c>
      <c r="J294">
        <v>36.895999999999603</v>
      </c>
      <c r="K294">
        <v>0.81</v>
      </c>
      <c r="L294" t="s">
        <v>14</v>
      </c>
      <c r="M294">
        <v>0.4</v>
      </c>
      <c r="N294">
        <v>0.3</v>
      </c>
      <c r="O294" t="str">
        <f t="shared" si="4"/>
        <v>0.4,0.3</v>
      </c>
    </row>
    <row r="295" spans="1:15">
      <c r="A295">
        <v>18</v>
      </c>
      <c r="B295">
        <v>1</v>
      </c>
      <c r="C295">
        <v>1</v>
      </c>
      <c r="D295">
        <v>51.791999999998701</v>
      </c>
      <c r="E295">
        <v>67.234000000000407</v>
      </c>
      <c r="F295">
        <v>42.282444444444998</v>
      </c>
      <c r="G295">
        <v>56.4941111111117</v>
      </c>
      <c r="H295">
        <v>7.4340000000000002</v>
      </c>
      <c r="I295">
        <v>2.5492222222222898</v>
      </c>
      <c r="J295">
        <v>34.76</v>
      </c>
      <c r="K295">
        <v>0.56399999999999995</v>
      </c>
      <c r="L295" t="s">
        <v>14</v>
      </c>
      <c r="M295">
        <v>0.4</v>
      </c>
      <c r="N295">
        <v>0.3</v>
      </c>
      <c r="O295" t="str">
        <f t="shared" si="4"/>
        <v>0.4,0.3</v>
      </c>
    </row>
    <row r="296" spans="1:15">
      <c r="A296">
        <v>12</v>
      </c>
      <c r="B296">
        <v>2</v>
      </c>
      <c r="C296">
        <v>1</v>
      </c>
      <c r="D296">
        <v>47.173999999999197</v>
      </c>
      <c r="E296">
        <v>65.778000000000304</v>
      </c>
      <c r="F296">
        <v>37.453999999998203</v>
      </c>
      <c r="G296">
        <v>53.0088333333333</v>
      </c>
      <c r="H296">
        <v>4.8540000000000001</v>
      </c>
      <c r="I296">
        <v>3.8991666666667499</v>
      </c>
      <c r="J296">
        <v>35.648000000000202</v>
      </c>
      <c r="K296">
        <v>2.0559999999999898</v>
      </c>
      <c r="L296" t="s">
        <v>14</v>
      </c>
      <c r="M296">
        <v>0.4</v>
      </c>
      <c r="N296">
        <v>0.3</v>
      </c>
      <c r="O296" t="str">
        <f t="shared" si="4"/>
        <v>0.4,0.3</v>
      </c>
    </row>
    <row r="297" spans="1:15">
      <c r="A297">
        <v>18</v>
      </c>
      <c r="B297">
        <v>2</v>
      </c>
      <c r="C297">
        <v>1</v>
      </c>
      <c r="D297">
        <v>50.101999999998597</v>
      </c>
      <c r="E297">
        <v>68.972000000000804</v>
      </c>
      <c r="F297">
        <v>40.984666666666399</v>
      </c>
      <c r="G297">
        <v>56.956000000000998</v>
      </c>
      <c r="H297">
        <v>6.24</v>
      </c>
      <c r="I297">
        <v>3.1928888888889899</v>
      </c>
      <c r="J297">
        <v>34.2180000000006</v>
      </c>
      <c r="K297">
        <v>1.4359999999999999</v>
      </c>
      <c r="L297" t="s">
        <v>14</v>
      </c>
      <c r="M297">
        <v>0.4</v>
      </c>
      <c r="N297">
        <v>0.3</v>
      </c>
      <c r="O297" t="str">
        <f t="shared" si="4"/>
        <v>0.4,0.3</v>
      </c>
    </row>
    <row r="298" spans="1:15">
      <c r="A298">
        <v>12</v>
      </c>
      <c r="B298">
        <v>1</v>
      </c>
      <c r="C298">
        <v>1</v>
      </c>
      <c r="D298">
        <v>47.985999999999997</v>
      </c>
      <c r="E298">
        <v>61.156000000000702</v>
      </c>
      <c r="F298">
        <v>41.9833333333317</v>
      </c>
      <c r="G298">
        <v>54.388166666666201</v>
      </c>
      <c r="H298">
        <v>3.1659999999999999</v>
      </c>
      <c r="I298">
        <v>1.8534999999999999</v>
      </c>
      <c r="J298">
        <v>45.045999999999097</v>
      </c>
      <c r="K298">
        <v>0.36399999999999999</v>
      </c>
      <c r="L298" t="s">
        <v>15</v>
      </c>
      <c r="M298">
        <v>0.4</v>
      </c>
      <c r="N298">
        <v>0.3</v>
      </c>
      <c r="O298" t="str">
        <f t="shared" si="4"/>
        <v>0.4,0.3</v>
      </c>
    </row>
    <row r="299" spans="1:15">
      <c r="A299">
        <v>18</v>
      </c>
      <c r="B299">
        <v>1</v>
      </c>
      <c r="C299">
        <v>1</v>
      </c>
      <c r="D299">
        <v>50.019999999999897</v>
      </c>
      <c r="E299">
        <v>63.5540000000003</v>
      </c>
      <c r="F299">
        <v>44.9383333333341</v>
      </c>
      <c r="G299">
        <v>57.799333333335497</v>
      </c>
      <c r="H299">
        <v>4.4020000000000001</v>
      </c>
      <c r="I299">
        <v>1.55277777777778</v>
      </c>
      <c r="J299">
        <v>43.707999999999402</v>
      </c>
      <c r="K299">
        <v>0.184</v>
      </c>
      <c r="L299" t="s">
        <v>15</v>
      </c>
      <c r="M299">
        <v>0.4</v>
      </c>
      <c r="N299">
        <v>0.3</v>
      </c>
      <c r="O299" t="str">
        <f t="shared" si="4"/>
        <v>0.4,0.3</v>
      </c>
    </row>
    <row r="300" spans="1:15">
      <c r="A300">
        <v>12</v>
      </c>
      <c r="B300">
        <v>2</v>
      </c>
      <c r="C300">
        <v>1</v>
      </c>
      <c r="D300">
        <v>46.161999999999701</v>
      </c>
      <c r="E300">
        <v>58.030000000001301</v>
      </c>
      <c r="F300">
        <v>39.697166666664998</v>
      </c>
      <c r="G300">
        <v>50.264666666666898</v>
      </c>
      <c r="H300">
        <v>3.1040000000000001</v>
      </c>
      <c r="I300">
        <v>1.96183333333333</v>
      </c>
      <c r="J300">
        <v>48.117999999999</v>
      </c>
      <c r="K300">
        <v>0.84599999999999997</v>
      </c>
      <c r="L300" t="s">
        <v>15</v>
      </c>
      <c r="M300">
        <v>0.4</v>
      </c>
      <c r="N300">
        <v>0.3</v>
      </c>
      <c r="O300" t="str">
        <f t="shared" si="4"/>
        <v>0.4,0.3</v>
      </c>
    </row>
    <row r="301" spans="1:15">
      <c r="A301">
        <v>18</v>
      </c>
      <c r="B301">
        <v>2</v>
      </c>
      <c r="C301">
        <v>1</v>
      </c>
      <c r="D301">
        <v>48.463999999999501</v>
      </c>
      <c r="E301">
        <v>60.442000000001102</v>
      </c>
      <c r="F301">
        <v>42.880000000000699</v>
      </c>
      <c r="G301">
        <v>53.900000000002898</v>
      </c>
      <c r="H301">
        <v>3.99</v>
      </c>
      <c r="I301">
        <v>1.57911111111111</v>
      </c>
      <c r="J301">
        <v>46.311999999999003</v>
      </c>
      <c r="K301">
        <v>0.55400000000000005</v>
      </c>
      <c r="L301" t="s">
        <v>15</v>
      </c>
      <c r="M301">
        <v>0.4</v>
      </c>
      <c r="N301">
        <v>0.3</v>
      </c>
      <c r="O301" t="str">
        <f t="shared" si="4"/>
        <v>0.4,0.3</v>
      </c>
    </row>
    <row r="302" spans="1:15">
      <c r="A302">
        <v>12</v>
      </c>
      <c r="B302">
        <v>1</v>
      </c>
      <c r="C302">
        <v>1</v>
      </c>
      <c r="D302">
        <v>46.126000000000097</v>
      </c>
      <c r="E302">
        <v>58.544000000001198</v>
      </c>
      <c r="F302">
        <v>39.028333333332299</v>
      </c>
      <c r="G302">
        <v>50.135999999999598</v>
      </c>
      <c r="H302">
        <v>6.3920000000000003</v>
      </c>
      <c r="I302">
        <v>0.95933333333333304</v>
      </c>
      <c r="J302">
        <v>49.663999999999902</v>
      </c>
      <c r="K302">
        <v>0.25</v>
      </c>
      <c r="L302" t="s">
        <v>16</v>
      </c>
      <c r="M302">
        <v>0.4</v>
      </c>
      <c r="N302">
        <v>0.3</v>
      </c>
      <c r="O302" t="str">
        <f t="shared" si="4"/>
        <v>0.4,0.3</v>
      </c>
    </row>
    <row r="303" spans="1:15">
      <c r="A303">
        <v>18</v>
      </c>
      <c r="B303">
        <v>1</v>
      </c>
      <c r="C303">
        <v>1</v>
      </c>
      <c r="D303">
        <v>47.850000000000101</v>
      </c>
      <c r="E303">
        <v>60.680000000001002</v>
      </c>
      <c r="F303">
        <v>42.006888888889897</v>
      </c>
      <c r="G303">
        <v>53.767888888891001</v>
      </c>
      <c r="H303">
        <v>7.9359999999999999</v>
      </c>
      <c r="I303">
        <v>0.79077777777777603</v>
      </c>
      <c r="J303">
        <v>47.861999999999497</v>
      </c>
      <c r="K303">
        <v>0.17599999999999999</v>
      </c>
      <c r="L303" t="s">
        <v>16</v>
      </c>
      <c r="M303">
        <v>0.4</v>
      </c>
      <c r="N303">
        <v>0.3</v>
      </c>
      <c r="O303" t="str">
        <f t="shared" si="4"/>
        <v>0.4,0.3</v>
      </c>
    </row>
    <row r="304" spans="1:15">
      <c r="A304">
        <v>12</v>
      </c>
      <c r="B304">
        <v>2</v>
      </c>
      <c r="C304">
        <v>1</v>
      </c>
      <c r="D304">
        <v>44.3599999999999</v>
      </c>
      <c r="E304">
        <v>54.882000000001497</v>
      </c>
      <c r="F304">
        <v>37.023999999998999</v>
      </c>
      <c r="G304">
        <v>45.730500000000603</v>
      </c>
      <c r="H304">
        <v>6.24</v>
      </c>
      <c r="I304">
        <v>0.97199999999999798</v>
      </c>
      <c r="J304">
        <v>52.428000000000303</v>
      </c>
      <c r="K304">
        <v>0.66400000000000003</v>
      </c>
      <c r="L304" t="s">
        <v>16</v>
      </c>
      <c r="M304">
        <v>0.4</v>
      </c>
      <c r="N304">
        <v>0.3</v>
      </c>
      <c r="O304" t="str">
        <f t="shared" si="4"/>
        <v>0.4,0.3</v>
      </c>
    </row>
    <row r="305" spans="1:15">
      <c r="A305">
        <v>18</v>
      </c>
      <c r="B305">
        <v>2</v>
      </c>
      <c r="C305">
        <v>1</v>
      </c>
      <c r="D305">
        <v>46.357999999999997</v>
      </c>
      <c r="E305">
        <v>57.176000000001402</v>
      </c>
      <c r="F305">
        <v>40.0911111111119</v>
      </c>
      <c r="G305">
        <v>49.488777777780697</v>
      </c>
      <c r="H305">
        <v>7.2080000000000002</v>
      </c>
      <c r="I305">
        <v>0.78644444444444195</v>
      </c>
      <c r="J305">
        <v>50.523999999999603</v>
      </c>
      <c r="K305">
        <v>0.43</v>
      </c>
      <c r="L305" t="s">
        <v>16</v>
      </c>
      <c r="M305">
        <v>0.4</v>
      </c>
      <c r="N305">
        <v>0.3</v>
      </c>
      <c r="O305" t="str">
        <f t="shared" si="4"/>
        <v>0.4,0.3</v>
      </c>
    </row>
    <row r="306" spans="1:15">
      <c r="A306">
        <v>12</v>
      </c>
      <c r="B306">
        <v>1</v>
      </c>
      <c r="C306">
        <v>1</v>
      </c>
      <c r="D306">
        <v>43.762000000000299</v>
      </c>
      <c r="E306">
        <v>55.710000000001102</v>
      </c>
      <c r="F306">
        <v>37.944999999998998</v>
      </c>
      <c r="G306">
        <v>48.626833333333003</v>
      </c>
      <c r="H306">
        <v>11.772</v>
      </c>
      <c r="I306">
        <v>0.75899999999999901</v>
      </c>
      <c r="J306">
        <v>51.980000000000899</v>
      </c>
      <c r="K306">
        <v>0.20200000000000001</v>
      </c>
      <c r="L306" t="s">
        <v>17</v>
      </c>
      <c r="M306">
        <v>0.4</v>
      </c>
      <c r="N306">
        <v>0.3</v>
      </c>
      <c r="O306" t="str">
        <f t="shared" si="4"/>
        <v>0.4,0.3</v>
      </c>
    </row>
    <row r="307" spans="1:15">
      <c r="A307">
        <v>18</v>
      </c>
      <c r="B307">
        <v>1</v>
      </c>
      <c r="C307">
        <v>1</v>
      </c>
      <c r="D307">
        <v>44.758000000000202</v>
      </c>
      <c r="E307">
        <v>56.838000000001102</v>
      </c>
      <c r="F307">
        <v>40.1633333333344</v>
      </c>
      <c r="G307">
        <v>51.240222222224403</v>
      </c>
      <c r="H307">
        <v>14.04</v>
      </c>
      <c r="I307">
        <v>0.58333333333333004</v>
      </c>
      <c r="J307">
        <v>51.120000000000303</v>
      </c>
      <c r="K307">
        <v>0.124</v>
      </c>
      <c r="L307" t="s">
        <v>17</v>
      </c>
      <c r="M307">
        <v>0.4</v>
      </c>
      <c r="N307">
        <v>0.3</v>
      </c>
      <c r="O307" t="str">
        <f t="shared" si="4"/>
        <v>0.4,0.3</v>
      </c>
    </row>
    <row r="308" spans="1:15">
      <c r="A308">
        <v>12</v>
      </c>
      <c r="B308">
        <v>2</v>
      </c>
      <c r="C308">
        <v>1</v>
      </c>
      <c r="D308">
        <v>41.718000000000103</v>
      </c>
      <c r="E308">
        <v>51.608000000001397</v>
      </c>
      <c r="F308">
        <v>35.886666666665903</v>
      </c>
      <c r="G308">
        <v>44.147666666667298</v>
      </c>
      <c r="H308">
        <v>11.052</v>
      </c>
      <c r="I308">
        <v>0.74066666666666903</v>
      </c>
      <c r="J308">
        <v>54.776000000001098</v>
      </c>
      <c r="K308">
        <v>0.54800000000000004</v>
      </c>
      <c r="L308" t="s">
        <v>17</v>
      </c>
      <c r="M308">
        <v>0.4</v>
      </c>
      <c r="N308">
        <v>0.3</v>
      </c>
      <c r="O308" t="str">
        <f t="shared" si="4"/>
        <v>0.4,0.3</v>
      </c>
    </row>
    <row r="309" spans="1:15">
      <c r="A309">
        <v>18</v>
      </c>
      <c r="B309">
        <v>2</v>
      </c>
      <c r="C309">
        <v>1</v>
      </c>
      <c r="D309">
        <v>43.258000000000102</v>
      </c>
      <c r="E309">
        <v>53.1980000000015</v>
      </c>
      <c r="F309">
        <v>38.313000000000997</v>
      </c>
      <c r="G309">
        <v>46.993111111113997</v>
      </c>
      <c r="H309">
        <v>12.92</v>
      </c>
      <c r="I309">
        <v>0.58655555555555305</v>
      </c>
      <c r="J309">
        <v>53.536000000000698</v>
      </c>
      <c r="K309">
        <v>0.34799999999999998</v>
      </c>
      <c r="L309" t="s">
        <v>17</v>
      </c>
      <c r="M309">
        <v>0.4</v>
      </c>
      <c r="N309">
        <v>0.3</v>
      </c>
      <c r="O309" t="str">
        <f t="shared" si="4"/>
        <v>0.4,0.3</v>
      </c>
    </row>
    <row r="310" spans="1:15">
      <c r="A310">
        <v>12</v>
      </c>
      <c r="B310">
        <v>1</v>
      </c>
      <c r="C310">
        <v>1</v>
      </c>
      <c r="D310">
        <v>49.0399999999998</v>
      </c>
      <c r="E310">
        <v>61.476000000000397</v>
      </c>
      <c r="F310">
        <v>40.727166666665198</v>
      </c>
      <c r="G310">
        <v>52.190166666666101</v>
      </c>
      <c r="H310">
        <v>5.048</v>
      </c>
      <c r="I310">
        <v>1.70966666666666</v>
      </c>
      <c r="J310">
        <v>42.3479999999998</v>
      </c>
      <c r="K310">
        <v>0.51</v>
      </c>
      <c r="L310" t="s">
        <v>11</v>
      </c>
      <c r="M310">
        <v>0.4</v>
      </c>
      <c r="N310">
        <v>0.4</v>
      </c>
      <c r="O310" t="str">
        <f t="shared" si="4"/>
        <v>0.4,0.4</v>
      </c>
    </row>
    <row r="311" spans="1:15">
      <c r="A311">
        <v>18</v>
      </c>
      <c r="B311">
        <v>1</v>
      </c>
      <c r="C311">
        <v>1</v>
      </c>
      <c r="D311">
        <v>52.0799999999997</v>
      </c>
      <c r="E311">
        <v>65.116000000000497</v>
      </c>
      <c r="F311">
        <v>44.2457777777785</v>
      </c>
      <c r="G311">
        <v>56.570444444446402</v>
      </c>
      <c r="H311">
        <v>6.02</v>
      </c>
      <c r="I311">
        <v>1.51955555555557</v>
      </c>
      <c r="J311">
        <v>41.467999999999599</v>
      </c>
      <c r="K311">
        <v>0.39800000000000002</v>
      </c>
      <c r="L311" t="s">
        <v>11</v>
      </c>
      <c r="M311">
        <v>0.4</v>
      </c>
      <c r="N311">
        <v>0.4</v>
      </c>
      <c r="O311" t="str">
        <f t="shared" si="4"/>
        <v>0.4,0.4</v>
      </c>
    </row>
    <row r="312" spans="1:15">
      <c r="A312">
        <v>12</v>
      </c>
      <c r="B312">
        <v>2</v>
      </c>
      <c r="C312">
        <v>1</v>
      </c>
      <c r="D312">
        <v>46.2379999999999</v>
      </c>
      <c r="E312">
        <v>57.472000000001401</v>
      </c>
      <c r="F312">
        <v>38.456333333332097</v>
      </c>
      <c r="G312">
        <v>48.129000000000403</v>
      </c>
      <c r="H312">
        <v>4.3979999999999997</v>
      </c>
      <c r="I312">
        <v>1.31499999999999</v>
      </c>
      <c r="J312">
        <v>50.527999999999899</v>
      </c>
      <c r="K312">
        <v>0.78200000000000003</v>
      </c>
      <c r="L312" t="s">
        <v>11</v>
      </c>
      <c r="M312">
        <v>0.4</v>
      </c>
      <c r="N312">
        <v>0.4</v>
      </c>
      <c r="O312" t="str">
        <f t="shared" si="4"/>
        <v>0.4,0.4</v>
      </c>
    </row>
    <row r="313" spans="1:15">
      <c r="A313">
        <v>18</v>
      </c>
      <c r="B313">
        <v>2</v>
      </c>
      <c r="C313">
        <v>1</v>
      </c>
      <c r="D313">
        <v>48.547999999999902</v>
      </c>
      <c r="E313">
        <v>60.192000000001599</v>
      </c>
      <c r="F313">
        <v>41.853444444445302</v>
      </c>
      <c r="G313">
        <v>52.270000000003201</v>
      </c>
      <c r="H313">
        <v>5.2679999999999998</v>
      </c>
      <c r="I313">
        <v>1.16811111111111</v>
      </c>
      <c r="J313">
        <v>47.881999999999501</v>
      </c>
      <c r="K313">
        <v>0.47799999999999998</v>
      </c>
      <c r="L313" t="s">
        <v>11</v>
      </c>
      <c r="M313">
        <v>0.4</v>
      </c>
      <c r="N313">
        <v>0.4</v>
      </c>
      <c r="O313" t="str">
        <f t="shared" si="4"/>
        <v>0.4,0.4</v>
      </c>
    </row>
    <row r="314" spans="1:15">
      <c r="A314">
        <v>12</v>
      </c>
      <c r="B314">
        <v>1</v>
      </c>
      <c r="C314">
        <v>1</v>
      </c>
      <c r="D314">
        <v>47.794000000000104</v>
      </c>
      <c r="E314">
        <v>59.620000000000701</v>
      </c>
      <c r="F314">
        <v>41.363499999998602</v>
      </c>
      <c r="G314">
        <v>52.380333333332601</v>
      </c>
      <c r="H314">
        <v>4.8040000000000003</v>
      </c>
      <c r="I314">
        <v>1.24766666666666</v>
      </c>
      <c r="J314">
        <v>47.679999999999801</v>
      </c>
      <c r="K314">
        <v>0.318</v>
      </c>
      <c r="L314" t="s">
        <v>12</v>
      </c>
      <c r="M314">
        <v>0.4</v>
      </c>
      <c r="N314">
        <v>0.4</v>
      </c>
      <c r="O314" t="str">
        <f t="shared" si="4"/>
        <v>0.4,0.4</v>
      </c>
    </row>
    <row r="315" spans="1:15">
      <c r="A315">
        <v>18</v>
      </c>
      <c r="B315">
        <v>1</v>
      </c>
      <c r="C315">
        <v>1</v>
      </c>
      <c r="D315">
        <v>49.513999999999903</v>
      </c>
      <c r="E315">
        <v>61.6060000000004</v>
      </c>
      <c r="F315">
        <v>44.233777777778897</v>
      </c>
      <c r="G315">
        <v>55.718444444446597</v>
      </c>
      <c r="H315">
        <v>5.9560000000000004</v>
      </c>
      <c r="I315">
        <v>1.06022222222222</v>
      </c>
      <c r="J315">
        <v>45.713999999999501</v>
      </c>
      <c r="K315">
        <v>0.192</v>
      </c>
      <c r="L315" t="s">
        <v>12</v>
      </c>
      <c r="M315">
        <v>0.4</v>
      </c>
      <c r="N315">
        <v>0.4</v>
      </c>
      <c r="O315" t="str">
        <f t="shared" si="4"/>
        <v>0.4,0.4</v>
      </c>
    </row>
    <row r="316" spans="1:15">
      <c r="A316">
        <v>12</v>
      </c>
      <c r="B316">
        <v>2</v>
      </c>
      <c r="C316">
        <v>1</v>
      </c>
      <c r="D316">
        <v>46.063999999999801</v>
      </c>
      <c r="E316">
        <v>57.222000000001302</v>
      </c>
      <c r="F316">
        <v>38.771166666665401</v>
      </c>
      <c r="G316">
        <v>48.221833333333599</v>
      </c>
      <c r="H316">
        <v>4.6340000000000003</v>
      </c>
      <c r="I316">
        <v>1.2765</v>
      </c>
      <c r="J316">
        <v>51.193999999999797</v>
      </c>
      <c r="K316">
        <v>0.79600000000000004</v>
      </c>
      <c r="L316" t="s">
        <v>12</v>
      </c>
      <c r="M316">
        <v>0.4</v>
      </c>
      <c r="N316">
        <v>0.4</v>
      </c>
      <c r="O316" t="str">
        <f t="shared" si="4"/>
        <v>0.4,0.4</v>
      </c>
    </row>
    <row r="317" spans="1:15">
      <c r="A317">
        <v>18</v>
      </c>
      <c r="B317">
        <v>2</v>
      </c>
      <c r="C317">
        <v>1</v>
      </c>
      <c r="D317">
        <v>47.561999999999699</v>
      </c>
      <c r="E317">
        <v>58.796000000001399</v>
      </c>
      <c r="F317">
        <v>41.576777777778702</v>
      </c>
      <c r="G317">
        <v>51.362666666669597</v>
      </c>
      <c r="H317">
        <v>5.5519999999999996</v>
      </c>
      <c r="I317">
        <v>1.0316666666666701</v>
      </c>
      <c r="J317">
        <v>49.455999999999399</v>
      </c>
      <c r="K317">
        <v>0.64200000000000002</v>
      </c>
      <c r="L317" t="s">
        <v>12</v>
      </c>
      <c r="M317">
        <v>0.4</v>
      </c>
      <c r="N317">
        <v>0.4</v>
      </c>
      <c r="O317" t="str">
        <f t="shared" si="4"/>
        <v>0.4,0.4</v>
      </c>
    </row>
    <row r="318" spans="1:15">
      <c r="A318">
        <v>12</v>
      </c>
      <c r="B318">
        <v>1</v>
      </c>
      <c r="C318">
        <v>1</v>
      </c>
      <c r="D318">
        <v>43.385999999999001</v>
      </c>
      <c r="E318">
        <v>56.329999999999401</v>
      </c>
      <c r="F318">
        <v>26.903333333331499</v>
      </c>
      <c r="G318">
        <v>38.854499999998303</v>
      </c>
      <c r="H318">
        <v>10.622</v>
      </c>
      <c r="I318">
        <v>4.8683333333333696</v>
      </c>
      <c r="J318">
        <v>54.635999999997701</v>
      </c>
      <c r="K318">
        <v>0.52400000000000002</v>
      </c>
      <c r="L318" t="s">
        <v>13</v>
      </c>
      <c r="M318">
        <v>0.4</v>
      </c>
      <c r="N318">
        <v>0.4</v>
      </c>
      <c r="O318" t="str">
        <f t="shared" si="4"/>
        <v>0.4,0.4</v>
      </c>
    </row>
    <row r="319" spans="1:15">
      <c r="A319">
        <v>18</v>
      </c>
      <c r="B319">
        <v>1</v>
      </c>
      <c r="C319">
        <v>1</v>
      </c>
      <c r="D319">
        <v>45.717999999999002</v>
      </c>
      <c r="E319">
        <v>58.917999999998997</v>
      </c>
      <c r="F319">
        <v>29.126333333331601</v>
      </c>
      <c r="G319">
        <v>41.173333333332501</v>
      </c>
      <c r="H319">
        <v>11.603999999999999</v>
      </c>
      <c r="I319">
        <v>5.2090000000001204</v>
      </c>
      <c r="J319">
        <v>53.5619999999982</v>
      </c>
      <c r="K319">
        <v>0.35</v>
      </c>
      <c r="L319" t="s">
        <v>13</v>
      </c>
      <c r="M319">
        <v>0.4</v>
      </c>
      <c r="N319">
        <v>0.4</v>
      </c>
      <c r="O319" t="str">
        <f t="shared" si="4"/>
        <v>0.4,0.4</v>
      </c>
    </row>
    <row r="320" spans="1:15">
      <c r="A320">
        <v>12</v>
      </c>
      <c r="B320">
        <v>2</v>
      </c>
      <c r="C320">
        <v>1</v>
      </c>
      <c r="D320">
        <v>43.395999999999901</v>
      </c>
      <c r="E320">
        <v>61.361999999999902</v>
      </c>
      <c r="F320">
        <v>28.278666666664801</v>
      </c>
      <c r="G320">
        <v>47.698666666665197</v>
      </c>
      <c r="H320">
        <v>9.4</v>
      </c>
      <c r="I320">
        <v>4.7906666666667004</v>
      </c>
      <c r="J320">
        <v>52.0679999999982</v>
      </c>
      <c r="K320">
        <v>1.79199999999999</v>
      </c>
      <c r="L320" t="s">
        <v>13</v>
      </c>
      <c r="M320">
        <v>0.4</v>
      </c>
      <c r="N320">
        <v>0.4</v>
      </c>
      <c r="O320" t="str">
        <f t="shared" si="4"/>
        <v>0.4,0.4</v>
      </c>
    </row>
    <row r="321" spans="1:15">
      <c r="A321">
        <v>18</v>
      </c>
      <c r="B321">
        <v>2</v>
      </c>
      <c r="C321">
        <v>1</v>
      </c>
      <c r="D321">
        <v>46.237999999999403</v>
      </c>
      <c r="E321">
        <v>64.911999999999793</v>
      </c>
      <c r="F321">
        <v>30.946777777775999</v>
      </c>
      <c r="G321">
        <v>52.461222222222403</v>
      </c>
      <c r="H321">
        <v>10.208</v>
      </c>
      <c r="I321">
        <v>5.2293333333334697</v>
      </c>
      <c r="J321">
        <v>50.503999999998697</v>
      </c>
      <c r="K321">
        <v>1.1839999999999999</v>
      </c>
      <c r="L321" t="s">
        <v>13</v>
      </c>
      <c r="M321">
        <v>0.4</v>
      </c>
      <c r="N321">
        <v>0.4</v>
      </c>
      <c r="O321" t="str">
        <f t="shared" si="4"/>
        <v>0.4,0.4</v>
      </c>
    </row>
    <row r="322" spans="1:15">
      <c r="A322">
        <v>12</v>
      </c>
      <c r="B322">
        <v>1</v>
      </c>
      <c r="C322">
        <v>1</v>
      </c>
      <c r="D322">
        <v>47.811999999999102</v>
      </c>
      <c r="E322">
        <v>60.991999999999898</v>
      </c>
      <c r="F322">
        <v>37.405166666664698</v>
      </c>
      <c r="G322">
        <v>49.497833333332601</v>
      </c>
      <c r="H322">
        <v>7.9340000000000002</v>
      </c>
      <c r="I322">
        <v>2.3668333333333398</v>
      </c>
      <c r="J322">
        <v>39.939999999999898</v>
      </c>
      <c r="K322">
        <v>0.7</v>
      </c>
      <c r="L322" t="s">
        <v>14</v>
      </c>
      <c r="M322">
        <v>0.4</v>
      </c>
      <c r="N322">
        <v>0.4</v>
      </c>
      <c r="O322" t="str">
        <f t="shared" si="4"/>
        <v>0.4,0.4</v>
      </c>
    </row>
    <row r="323" spans="1:15">
      <c r="A323">
        <v>18</v>
      </c>
      <c r="B323">
        <v>1</v>
      </c>
      <c r="C323">
        <v>1</v>
      </c>
      <c r="D323">
        <v>50.759999999999103</v>
      </c>
      <c r="E323">
        <v>64.098000000000098</v>
      </c>
      <c r="F323">
        <v>41.009333333334098</v>
      </c>
      <c r="G323">
        <v>53.252777777778299</v>
      </c>
      <c r="H323">
        <v>10.294</v>
      </c>
      <c r="I323">
        <v>1.9894444444445001</v>
      </c>
      <c r="J323">
        <v>37.2599999999996</v>
      </c>
      <c r="K323">
        <v>0.55400000000000005</v>
      </c>
      <c r="L323" t="s">
        <v>14</v>
      </c>
      <c r="M323">
        <v>0.4</v>
      </c>
      <c r="N323">
        <v>0.4</v>
      </c>
      <c r="O323" t="str">
        <f t="shared" ref="O323:O337" si="5">M323&amp;","&amp;N323</f>
        <v>0.4,0.4</v>
      </c>
    </row>
    <row r="324" spans="1:15">
      <c r="A324">
        <v>12</v>
      </c>
      <c r="B324">
        <v>2</v>
      </c>
      <c r="C324">
        <v>1</v>
      </c>
      <c r="D324">
        <v>46.301999999999303</v>
      </c>
      <c r="E324">
        <v>64.864000000000303</v>
      </c>
      <c r="F324">
        <v>36.321833333331597</v>
      </c>
      <c r="G324">
        <v>51.096333333333398</v>
      </c>
      <c r="H324">
        <v>6.56</v>
      </c>
      <c r="I324">
        <v>3.0835000000000399</v>
      </c>
      <c r="J324">
        <v>38.327999999999797</v>
      </c>
      <c r="K324">
        <v>2.1339999999999901</v>
      </c>
      <c r="L324" t="s">
        <v>14</v>
      </c>
      <c r="M324">
        <v>0.4</v>
      </c>
      <c r="N324">
        <v>0.4</v>
      </c>
      <c r="O324" t="str">
        <f t="shared" si="5"/>
        <v>0.4,0.4</v>
      </c>
    </row>
    <row r="325" spans="1:15">
      <c r="A325">
        <v>18</v>
      </c>
      <c r="B325">
        <v>2</v>
      </c>
      <c r="C325">
        <v>1</v>
      </c>
      <c r="D325">
        <v>49.077999999998802</v>
      </c>
      <c r="E325">
        <v>68.040000000000603</v>
      </c>
      <c r="F325">
        <v>39.958555555555499</v>
      </c>
      <c r="G325">
        <v>55.348444444445597</v>
      </c>
      <c r="H325">
        <v>7.9880000000000004</v>
      </c>
      <c r="I325">
        <v>2.76888888888897</v>
      </c>
      <c r="J325">
        <v>35.582000000000299</v>
      </c>
      <c r="K325">
        <v>1.76999999999999</v>
      </c>
      <c r="L325" t="s">
        <v>14</v>
      </c>
      <c r="M325">
        <v>0.4</v>
      </c>
      <c r="N325">
        <v>0.4</v>
      </c>
      <c r="O325" t="str">
        <f t="shared" si="5"/>
        <v>0.4,0.4</v>
      </c>
    </row>
    <row r="326" spans="1:15">
      <c r="A326">
        <v>12</v>
      </c>
      <c r="B326">
        <v>1</v>
      </c>
      <c r="C326">
        <v>1</v>
      </c>
      <c r="D326">
        <v>49.159999999999897</v>
      </c>
      <c r="E326">
        <v>61.166000000000203</v>
      </c>
      <c r="F326">
        <v>42.184166666665</v>
      </c>
      <c r="G326">
        <v>53.594166666665799</v>
      </c>
      <c r="H326">
        <v>3.452</v>
      </c>
      <c r="I326">
        <v>1.931</v>
      </c>
      <c r="J326">
        <v>43.977999999999298</v>
      </c>
      <c r="K326">
        <v>0.42599999999999999</v>
      </c>
      <c r="L326" t="s">
        <v>15</v>
      </c>
      <c r="M326">
        <v>0.4</v>
      </c>
      <c r="N326">
        <v>0.4</v>
      </c>
      <c r="O326" t="str">
        <f t="shared" si="5"/>
        <v>0.4,0.4</v>
      </c>
    </row>
    <row r="327" spans="1:15">
      <c r="A327">
        <v>18</v>
      </c>
      <c r="B327">
        <v>1</v>
      </c>
      <c r="C327">
        <v>1</v>
      </c>
      <c r="D327">
        <v>51.119999999999798</v>
      </c>
      <c r="E327">
        <v>63.432000000000102</v>
      </c>
      <c r="F327">
        <v>45.582333333334297</v>
      </c>
      <c r="G327">
        <v>57.332888888891098</v>
      </c>
      <c r="H327">
        <v>4.524</v>
      </c>
      <c r="I327">
        <v>1.53188888888889</v>
      </c>
      <c r="J327">
        <v>41.871999999999701</v>
      </c>
      <c r="K327">
        <v>0.248</v>
      </c>
      <c r="L327" t="s">
        <v>15</v>
      </c>
      <c r="M327">
        <v>0.4</v>
      </c>
      <c r="N327">
        <v>0.4</v>
      </c>
      <c r="O327" t="str">
        <f t="shared" si="5"/>
        <v>0.4,0.4</v>
      </c>
    </row>
    <row r="328" spans="1:15">
      <c r="A328">
        <v>12</v>
      </c>
      <c r="B328">
        <v>2</v>
      </c>
      <c r="C328">
        <v>1</v>
      </c>
      <c r="D328">
        <v>47.271999999999601</v>
      </c>
      <c r="E328">
        <v>59.494000000000902</v>
      </c>
      <c r="F328">
        <v>39.544833333331802</v>
      </c>
      <c r="G328">
        <v>50.252833333333598</v>
      </c>
      <c r="H328">
        <v>3.1339999999999999</v>
      </c>
      <c r="I328">
        <v>1.915</v>
      </c>
      <c r="J328">
        <v>47.605999999999</v>
      </c>
      <c r="K328">
        <v>0.97799999999999998</v>
      </c>
      <c r="L328" t="s">
        <v>15</v>
      </c>
      <c r="M328">
        <v>0.4</v>
      </c>
      <c r="N328">
        <v>0.4</v>
      </c>
      <c r="O328" t="str">
        <f t="shared" si="5"/>
        <v>0.4,0.4</v>
      </c>
    </row>
    <row r="329" spans="1:15">
      <c r="A329">
        <v>18</v>
      </c>
      <c r="B329">
        <v>2</v>
      </c>
      <c r="C329">
        <v>1</v>
      </c>
      <c r="D329">
        <v>49.229999999999599</v>
      </c>
      <c r="E329">
        <v>61.858000000000899</v>
      </c>
      <c r="F329">
        <v>42.6436666666674</v>
      </c>
      <c r="G329">
        <v>53.987555555558799</v>
      </c>
      <c r="H329">
        <v>3.9380000000000002</v>
      </c>
      <c r="I329">
        <v>1.59622222222222</v>
      </c>
      <c r="J329">
        <v>45.6059999999989</v>
      </c>
      <c r="K329">
        <v>0.76600000000000001</v>
      </c>
      <c r="L329" t="s">
        <v>15</v>
      </c>
      <c r="M329">
        <v>0.4</v>
      </c>
      <c r="N329">
        <v>0.4</v>
      </c>
      <c r="O329" t="str">
        <f t="shared" si="5"/>
        <v>0.4,0.4</v>
      </c>
    </row>
    <row r="330" spans="1:15">
      <c r="A330">
        <v>12</v>
      </c>
      <c r="B330">
        <v>1</v>
      </c>
      <c r="C330">
        <v>1</v>
      </c>
      <c r="D330">
        <v>48.172000000000097</v>
      </c>
      <c r="E330">
        <v>60.044000000000601</v>
      </c>
      <c r="F330">
        <v>41.066666666665299</v>
      </c>
      <c r="G330">
        <v>52.016333333332597</v>
      </c>
      <c r="H330">
        <v>4.2759999999999998</v>
      </c>
      <c r="I330">
        <v>1.359</v>
      </c>
      <c r="J330">
        <v>46.8699999999996</v>
      </c>
      <c r="K330">
        <v>0.34</v>
      </c>
      <c r="L330" t="s">
        <v>16</v>
      </c>
      <c r="M330">
        <v>0.4</v>
      </c>
      <c r="N330">
        <v>0.4</v>
      </c>
      <c r="O330" t="str">
        <f t="shared" si="5"/>
        <v>0.4,0.4</v>
      </c>
    </row>
    <row r="331" spans="1:15">
      <c r="A331">
        <v>18</v>
      </c>
      <c r="B331">
        <v>1</v>
      </c>
      <c r="C331">
        <v>1</v>
      </c>
      <c r="D331">
        <v>50.34</v>
      </c>
      <c r="E331">
        <v>62.414000000000499</v>
      </c>
      <c r="F331">
        <v>44.482777777778701</v>
      </c>
      <c r="G331">
        <v>55.794666666668803</v>
      </c>
      <c r="H331">
        <v>5.4980000000000002</v>
      </c>
      <c r="I331">
        <v>1.0209999999999999</v>
      </c>
      <c r="J331">
        <v>44.333999999999399</v>
      </c>
      <c r="K331">
        <v>0.17799999999999999</v>
      </c>
      <c r="L331" t="s">
        <v>16</v>
      </c>
      <c r="M331">
        <v>0.4</v>
      </c>
      <c r="N331">
        <v>0.4</v>
      </c>
      <c r="O331" t="str">
        <f t="shared" si="5"/>
        <v>0.4,0.4</v>
      </c>
    </row>
    <row r="332" spans="1:15">
      <c r="A332">
        <v>12</v>
      </c>
      <c r="B332">
        <v>2</v>
      </c>
      <c r="C332">
        <v>1</v>
      </c>
      <c r="D332">
        <v>46.267999999999802</v>
      </c>
      <c r="E332">
        <v>57.840000000001403</v>
      </c>
      <c r="F332">
        <v>38.492333333332098</v>
      </c>
      <c r="G332">
        <v>48.156833333333601</v>
      </c>
      <c r="H332">
        <v>3.89</v>
      </c>
      <c r="I332">
        <v>1.3056666666666601</v>
      </c>
      <c r="J332">
        <v>50.513999999999498</v>
      </c>
      <c r="K332">
        <v>0.79400000000000004</v>
      </c>
      <c r="L332" t="s">
        <v>16</v>
      </c>
      <c r="M332">
        <v>0.4</v>
      </c>
      <c r="N332">
        <v>0.4</v>
      </c>
      <c r="O332" t="str">
        <f t="shared" si="5"/>
        <v>0.4,0.4</v>
      </c>
    </row>
    <row r="333" spans="1:15">
      <c r="A333">
        <v>18</v>
      </c>
      <c r="B333">
        <v>2</v>
      </c>
      <c r="C333">
        <v>1</v>
      </c>
      <c r="D333">
        <v>47.929999999999801</v>
      </c>
      <c r="E333">
        <v>59.7840000000012</v>
      </c>
      <c r="F333">
        <v>41.372000000000803</v>
      </c>
      <c r="G333">
        <v>51.569666666669796</v>
      </c>
      <c r="H333">
        <v>4.88</v>
      </c>
      <c r="I333">
        <v>1.10911111111111</v>
      </c>
      <c r="J333">
        <v>48.305999999999202</v>
      </c>
      <c r="K333">
        <v>0.71799999999999997</v>
      </c>
      <c r="L333" t="s">
        <v>16</v>
      </c>
      <c r="M333">
        <v>0.4</v>
      </c>
      <c r="N333">
        <v>0.4</v>
      </c>
      <c r="O333" t="str">
        <f t="shared" si="5"/>
        <v>0.4,0.4</v>
      </c>
    </row>
    <row r="334" spans="1:15">
      <c r="A334">
        <v>12</v>
      </c>
      <c r="B334">
        <v>1</v>
      </c>
      <c r="C334">
        <v>1</v>
      </c>
      <c r="D334">
        <v>45.732000000000298</v>
      </c>
      <c r="E334">
        <v>56.984000000000798</v>
      </c>
      <c r="F334">
        <v>40.027833333331998</v>
      </c>
      <c r="G334">
        <v>50.591499999999201</v>
      </c>
      <c r="H334">
        <v>10.141999999999999</v>
      </c>
      <c r="I334">
        <v>1.1078333333333299</v>
      </c>
      <c r="J334">
        <v>49.049999999999798</v>
      </c>
      <c r="K334">
        <v>0.25800000000000001</v>
      </c>
      <c r="L334" t="s">
        <v>17</v>
      </c>
      <c r="M334">
        <v>0.4</v>
      </c>
      <c r="N334">
        <v>0.4</v>
      </c>
      <c r="O334" t="str">
        <f t="shared" si="5"/>
        <v>0.4,0.4</v>
      </c>
    </row>
    <row r="335" spans="1:15">
      <c r="A335">
        <v>18</v>
      </c>
      <c r="B335">
        <v>1</v>
      </c>
      <c r="C335">
        <v>1</v>
      </c>
      <c r="D335">
        <v>46.6180000000004</v>
      </c>
      <c r="E335">
        <v>58.1720000000008</v>
      </c>
      <c r="F335">
        <v>42.415111111112097</v>
      </c>
      <c r="G335">
        <v>53.4353333333354</v>
      </c>
      <c r="H335">
        <v>12.442</v>
      </c>
      <c r="I335">
        <v>0.83577777777777496</v>
      </c>
      <c r="J335">
        <v>47.985999999999599</v>
      </c>
      <c r="K335">
        <v>0.128</v>
      </c>
      <c r="L335" t="s">
        <v>17</v>
      </c>
      <c r="M335">
        <v>0.4</v>
      </c>
      <c r="N335">
        <v>0.4</v>
      </c>
      <c r="O335" t="str">
        <f t="shared" si="5"/>
        <v>0.4,0.4</v>
      </c>
    </row>
    <row r="336" spans="1:15">
      <c r="A336">
        <v>12</v>
      </c>
      <c r="B336">
        <v>2</v>
      </c>
      <c r="C336">
        <v>1</v>
      </c>
      <c r="D336">
        <v>43.7620000000001</v>
      </c>
      <c r="E336">
        <v>54.706000000001097</v>
      </c>
      <c r="F336">
        <v>37.451333333332101</v>
      </c>
      <c r="G336">
        <v>46.6878333333336</v>
      </c>
      <c r="H336">
        <v>9.2279999999999998</v>
      </c>
      <c r="I336">
        <v>1.10299999999999</v>
      </c>
      <c r="J336">
        <v>52.624000000000201</v>
      </c>
      <c r="K336">
        <v>0.68799999999999994</v>
      </c>
      <c r="L336" t="s">
        <v>17</v>
      </c>
      <c r="M336">
        <v>0.4</v>
      </c>
      <c r="N336">
        <v>0.4</v>
      </c>
      <c r="O336" t="str">
        <f t="shared" si="5"/>
        <v>0.4,0.4</v>
      </c>
    </row>
    <row r="337" spans="1:15">
      <c r="A337">
        <v>18</v>
      </c>
      <c r="B337">
        <v>2</v>
      </c>
      <c r="C337">
        <v>1</v>
      </c>
      <c r="D337">
        <v>44.570000000000199</v>
      </c>
      <c r="E337">
        <v>55.494000000001201</v>
      </c>
      <c r="F337">
        <v>39.601333333334203</v>
      </c>
      <c r="G337">
        <v>49.141333333336298</v>
      </c>
      <c r="H337">
        <v>11.071999999999999</v>
      </c>
      <c r="I337">
        <v>0.85877777777777498</v>
      </c>
      <c r="J337">
        <v>51.561999999999799</v>
      </c>
      <c r="K337">
        <v>0.54600000000000004</v>
      </c>
      <c r="L337" t="s">
        <v>17</v>
      </c>
      <c r="M337">
        <v>0.4</v>
      </c>
      <c r="N337">
        <v>0.4</v>
      </c>
      <c r="O337" t="str">
        <f t="shared" si="5"/>
        <v>0.4,0.4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Outputtable1</vt:lpstr>
      <vt:lpstr>Outputtable2</vt:lpstr>
      <vt:lpstr>utility_phiT</vt:lpstr>
      <vt:lpstr>efficacy_phiT</vt:lpstr>
      <vt:lpstr>utility_zetaE</vt:lpstr>
      <vt:lpstr>efficacy_zetaE</vt:lpstr>
      <vt:lpstr>simres_sensitivity.csv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shl</dc:creator>
  <cp:lastModifiedBy>shl</cp:lastModifiedBy>
  <dcterms:created xsi:type="dcterms:W3CDTF">2022-03-09T23:05:10Z</dcterms:created>
  <dcterms:modified xsi:type="dcterms:W3CDTF">2022-08-31T16:57:44Z</dcterms:modified>
</cp:coreProperties>
</file>